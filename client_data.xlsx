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All Ins. Company Client\"/>
    </mc:Choice>
  </mc:AlternateContent>
  <xr:revisionPtr revIDLastSave="0" documentId="13_ncr:1_{520FF854-9631-481C-9EA3-63D7FC68FBF5}" xr6:coauthVersionLast="47" xr6:coauthVersionMax="47" xr10:uidLastSave="{00000000-0000-0000-0000-000000000000}"/>
  <bookViews>
    <workbookView xWindow="-110" yWindow="-110" windowWidth="19420" windowHeight="10420" tabRatio="894" xr2:uid="{00000000-000D-0000-FFFF-FFFF00000000}"/>
  </bookViews>
  <sheets>
    <sheet name="Star" sheetId="11" r:id="rId1"/>
    <sheet name="Erg" sheetId="12" r:id="rId2"/>
    <sheet name="Niva" sheetId="14" r:id="rId3"/>
    <sheet name="Reli" sheetId="25" r:id="rId4"/>
    <sheet name="S.B.I" sheetId="13" r:id="rId5"/>
    <sheet name="Care" sheetId="15" r:id="rId6"/>
    <sheet name="Futr&amp;ICICI" sheetId="19" r:id="rId7"/>
    <sheet name="H.Life-P.Bdur" sheetId="28" r:id="rId8"/>
    <sheet name="H.Life-A.Gupta" sheetId="30" r:id="rId9"/>
    <sheet name="Kuldp-Veh" sheetId="23" r:id="rId10"/>
    <sheet name="S.Ram" sheetId="21" r:id="rId11"/>
    <sheet name="Total" sheetId="10" r:id="rId12"/>
    <sheet name="Transfer" sheetId="20" r:id="rId13"/>
    <sheet name="Sheet1" sheetId="3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1" i="14" l="1"/>
  <c r="B423" i="12"/>
  <c r="E18" i="19"/>
  <c r="B103" i="25"/>
  <c r="C8" i="10"/>
  <c r="C7" i="10"/>
  <c r="C6" i="10"/>
  <c r="E18" i="13"/>
  <c r="E103" i="25"/>
  <c r="E8" i="19"/>
  <c r="F28" i="23"/>
  <c r="E423" i="12"/>
  <c r="B249" i="11"/>
  <c r="E280" i="20" l="1"/>
  <c r="E281" i="20"/>
  <c r="E278" i="20"/>
  <c r="E279" i="20"/>
  <c r="F50" i="28"/>
  <c r="C5" i="10" l="1"/>
  <c r="C2" i="10" l="1"/>
  <c r="E277" i="20"/>
  <c r="C3" i="10" l="1"/>
  <c r="C9" i="10" l="1"/>
  <c r="E19" i="19"/>
  <c r="D9" i="10" l="1"/>
  <c r="E9" i="10" s="1"/>
  <c r="C12" i="10"/>
  <c r="F15" i="30"/>
  <c r="F16" i="30" l="1"/>
  <c r="D11" i="10"/>
  <c r="E11" i="10" s="1"/>
  <c r="C4" i="10"/>
  <c r="F51" i="28" l="1"/>
  <c r="D10" i="10"/>
  <c r="E104" i="25" l="1"/>
  <c r="D5" i="10"/>
  <c r="E249" i="11"/>
  <c r="D2" i="10" s="1"/>
  <c r="I120" i="20" l="1"/>
  <c r="E12" i="21"/>
  <c r="D12" i="10"/>
  <c r="E12" i="10" s="1"/>
  <c r="E19" i="15"/>
  <c r="D6" i="10" s="1"/>
  <c r="D7" i="10"/>
  <c r="E5" i="10"/>
  <c r="E251" i="14"/>
  <c r="D4" i="10" s="1"/>
  <c r="D3" i="10"/>
  <c r="E2" i="10"/>
  <c r="E9" i="19" l="1"/>
  <c r="D8" i="10"/>
  <c r="E8" i="10" s="1"/>
  <c r="E7" i="10"/>
  <c r="D13" i="10"/>
  <c r="E13" i="10" s="1"/>
  <c r="E13" i="21"/>
  <c r="F29" i="23"/>
  <c r="E19" i="13"/>
  <c r="E6" i="10"/>
  <c r="E10" i="10"/>
  <c r="E252" i="14"/>
  <c r="E3" i="10"/>
  <c r="E20" i="15"/>
  <c r="C14" i="10"/>
  <c r="D249" i="11"/>
  <c r="E424" i="12"/>
  <c r="D251" i="14"/>
  <c r="D14" i="10" l="1"/>
  <c r="E4" i="10"/>
  <c r="E14" i="10" s="1"/>
</calcChain>
</file>

<file path=xl/sharedStrings.xml><?xml version="1.0" encoding="utf-8"?>
<sst xmlns="http://schemas.openxmlformats.org/spreadsheetml/2006/main" count="6396" uniqueCount="3871">
  <si>
    <t xml:space="preserve">Star Health Client </t>
  </si>
  <si>
    <t xml:space="preserve"> January</t>
  </si>
  <si>
    <t>S.No</t>
  </si>
  <si>
    <t>Assured Name</t>
  </si>
  <si>
    <t>Policy Number</t>
  </si>
  <si>
    <t>Due Date</t>
  </si>
  <si>
    <t>Premium</t>
  </si>
  <si>
    <t>Sum Insured</t>
  </si>
  <si>
    <t>Mobile</t>
  </si>
  <si>
    <t>Ref.</t>
  </si>
  <si>
    <t>Remarks</t>
  </si>
  <si>
    <t>ALAKH RANJAN</t>
  </si>
  <si>
    <t>1 Jan '2026</t>
  </si>
  <si>
    <t>10 Lakh</t>
  </si>
  <si>
    <t>Anjali Gupta</t>
  </si>
  <si>
    <t>ABHISHEK - Palwal</t>
  </si>
  <si>
    <t>RAJ KUMAR MISHRA</t>
  </si>
  <si>
    <t>5 Lakh</t>
  </si>
  <si>
    <t xml:space="preserve">ARUN BATRA - DEEPA BATRA </t>
  </si>
  <si>
    <t>NITIN KUMAR GAUTAM - P.A</t>
  </si>
  <si>
    <t>9 Jan '2026</t>
  </si>
  <si>
    <t>25 Lakh</t>
  </si>
  <si>
    <t>NITIN KUMAR GAUTAM</t>
  </si>
  <si>
    <t>JOTENDER PAL HANDA</t>
  </si>
  <si>
    <t>4 Lakh</t>
  </si>
  <si>
    <t>Rohit Bajaj</t>
  </si>
  <si>
    <t>SUBHASHISH GHOSHAL</t>
  </si>
  <si>
    <t>10 L - Dedt. 50 K</t>
  </si>
  <si>
    <t>SATYAJEET GHOSAL</t>
  </si>
  <si>
    <t>3 Lakh</t>
  </si>
  <si>
    <t>MAHENDER SINGH YADAV</t>
  </si>
  <si>
    <t>18 Jan '2026</t>
  </si>
  <si>
    <t>SANDEEP SHARMA</t>
  </si>
  <si>
    <t>AJOY NEOL BISWAS</t>
  </si>
  <si>
    <t>DAYA SHANKER</t>
  </si>
  <si>
    <t>SIMMY GIRDHAR</t>
  </si>
  <si>
    <t>D.K Gupta</t>
  </si>
  <si>
    <t>JEETENDRA KUMAR - 3 Yrs</t>
  </si>
  <si>
    <t>27 Jan '2028</t>
  </si>
  <si>
    <t>70 115 154 77</t>
  </si>
  <si>
    <t>February</t>
  </si>
  <si>
    <t>SHIV SHANKAR JHA</t>
  </si>
  <si>
    <t>2 Feb '2026</t>
  </si>
  <si>
    <t>GAURAV TEOTIA - Usha Devi</t>
  </si>
  <si>
    <t>Kuldeep Singh</t>
  </si>
  <si>
    <t>GOPAL DUTT SHARMA</t>
  </si>
  <si>
    <t>PRABHA SHANKAR GUPTA</t>
  </si>
  <si>
    <t>Tarun Gupta</t>
  </si>
  <si>
    <t>ANIL KUMAR SHARMA</t>
  </si>
  <si>
    <t>Yagya Dutt - Khurja</t>
  </si>
  <si>
    <t>MANOJ VERMA</t>
  </si>
  <si>
    <t>13 Feb '2026</t>
  </si>
  <si>
    <t>Ashish Razdan</t>
  </si>
  <si>
    <t>SURAJ SONI</t>
  </si>
  <si>
    <t>19 Feb '2026</t>
  </si>
  <si>
    <t>KULDEEP SINGH RAGHAV</t>
  </si>
  <si>
    <t>RAHUL DEV VERMA - Anuradha</t>
  </si>
  <si>
    <t>Sudhir Gupta</t>
  </si>
  <si>
    <t>RICHA SAHNI</t>
  </si>
  <si>
    <t>March</t>
  </si>
  <si>
    <t>SONU CHAHAL</t>
  </si>
  <si>
    <t>112407554675 06</t>
  </si>
  <si>
    <t>6 Mar '2025</t>
  </si>
  <si>
    <t>SALEEM MASTER</t>
  </si>
  <si>
    <t>9 Mar '2025</t>
  </si>
  <si>
    <t>RAHUL THAKUR</t>
  </si>
  <si>
    <t>10 Mar '2026</t>
  </si>
  <si>
    <t>ANIL KUMAR KHADKIWALA</t>
  </si>
  <si>
    <t>DHANWANT SINGH SOKHI</t>
  </si>
  <si>
    <t>15 Lakh</t>
  </si>
  <si>
    <t>Vinod Gupta</t>
  </si>
  <si>
    <t xml:space="preserve">RAJESH KUMAR KARANJIYA </t>
  </si>
  <si>
    <t>112407887590 07</t>
  </si>
  <si>
    <t>21 Mar '2025</t>
  </si>
  <si>
    <t>LILY GOMES</t>
  </si>
  <si>
    <t>27 Mar '2025</t>
  </si>
  <si>
    <t>2 Lakh</t>
  </si>
  <si>
    <t>SUSHMITA KAR</t>
  </si>
  <si>
    <t>KARTIK PARIHAR</t>
  </si>
  <si>
    <t>CHANCHAL JAIN</t>
  </si>
  <si>
    <t>22 Mar '2025</t>
  </si>
  <si>
    <t>25 Mar '2025</t>
  </si>
  <si>
    <t>ASHISH POKHRIYAL</t>
  </si>
  <si>
    <t>112408085945 00</t>
  </si>
  <si>
    <t>25 K</t>
  </si>
  <si>
    <t>DEEPANSHU GANDHI / Pushpa Rani</t>
  </si>
  <si>
    <t>112407629516 08</t>
  </si>
  <si>
    <t>29 Mar '2025</t>
  </si>
  <si>
    <t>RAVI KUMAR</t>
  </si>
  <si>
    <t>Mohan Lal</t>
  </si>
  <si>
    <t>ASHWANI AHUJA</t>
  </si>
  <si>
    <t>MOHIT SHARMA (Bina Rani)</t>
  </si>
  <si>
    <t>30 Mar '2025</t>
  </si>
  <si>
    <t>April</t>
  </si>
  <si>
    <t>NARBIR SINGH CHAUHAN</t>
  </si>
  <si>
    <t>Deepak Gandhi-Star Client</t>
  </si>
  <si>
    <t>PRASHANT SHARMA</t>
  </si>
  <si>
    <t>GAJENDRA SINGH</t>
  </si>
  <si>
    <t>AMAR NATH TIWARI</t>
  </si>
  <si>
    <t>7.5 Lakh</t>
  </si>
  <si>
    <t>SHIVAM SINGH</t>
  </si>
  <si>
    <t>ARSHAD ALI</t>
  </si>
  <si>
    <t>ZAFAR UDDIN</t>
  </si>
  <si>
    <t>May</t>
  </si>
  <si>
    <t>SHYAM LAL GARG</t>
  </si>
  <si>
    <t>162508916916 06</t>
  </si>
  <si>
    <t>6 May '2025</t>
  </si>
  <si>
    <t>57 Lakh</t>
  </si>
  <si>
    <t>MUBARIQ ALI</t>
  </si>
  <si>
    <t>10 May '2025</t>
  </si>
  <si>
    <t>SHOBHA RANA</t>
  </si>
  <si>
    <t>7303470974 -                      Vikram Rana</t>
  </si>
  <si>
    <t>112509208412 00</t>
  </si>
  <si>
    <t>11 May '2026</t>
  </si>
  <si>
    <t>ARCHANA NAIR</t>
  </si>
  <si>
    <t>UPASNA NAIR</t>
  </si>
  <si>
    <t>DEEPAK TYAGI</t>
  </si>
  <si>
    <t>112509109186 08</t>
  </si>
  <si>
    <t>14 May '2025</t>
  </si>
  <si>
    <t>162509843581 00</t>
  </si>
  <si>
    <t>17 May '2025</t>
  </si>
  <si>
    <t>162509783029 00</t>
  </si>
  <si>
    <t>162509794937 00</t>
  </si>
  <si>
    <t>162509806320 00</t>
  </si>
  <si>
    <t>162509846672 00</t>
  </si>
  <si>
    <t>162509843166 00</t>
  </si>
  <si>
    <t>162509843280 00</t>
  </si>
  <si>
    <t>162509852911 00</t>
  </si>
  <si>
    <t>RAJIV KUMAR - Gayatri Devi</t>
  </si>
  <si>
    <t>18 May '2025</t>
  </si>
  <si>
    <t>APARAJITA ARORA</t>
  </si>
  <si>
    <t>20 May '2025</t>
  </si>
  <si>
    <t>Ravinder Arora - Ergo C</t>
  </si>
  <si>
    <t>112509801195 06</t>
  </si>
  <si>
    <t>20 May '2026</t>
  </si>
  <si>
    <t>SAKSHI - 2 Yrs</t>
  </si>
  <si>
    <t>112509841971 00</t>
  </si>
  <si>
    <t>20 May '2027</t>
  </si>
  <si>
    <t>NILESH SHUKLA</t>
  </si>
  <si>
    <t>HARPREET SINGH</t>
  </si>
  <si>
    <t>Jasvinder Kaur</t>
  </si>
  <si>
    <t>YOGESH SHARMA</t>
  </si>
  <si>
    <t>23 May '2025</t>
  </si>
  <si>
    <t>Ankur Gupta - Niva</t>
  </si>
  <si>
    <t>MAMTA SINGH</t>
  </si>
  <si>
    <t>SATYA PRAKASH</t>
  </si>
  <si>
    <t>SUNIL GUPTA</t>
  </si>
  <si>
    <t>Ankit Aggarwal - Ergo C</t>
  </si>
  <si>
    <t>SEEMA BATRA</t>
  </si>
  <si>
    <t>June</t>
  </si>
  <si>
    <t>PAWAN CHAUDHARY</t>
  </si>
  <si>
    <t>Tarun Tanwar</t>
  </si>
  <si>
    <t>RUCHITA CHATURVEDI</t>
  </si>
  <si>
    <t>VIRENDER PRASHAD JAIN - Trishla</t>
  </si>
  <si>
    <t>112500653010 08</t>
  </si>
  <si>
    <t>112500506064 00</t>
  </si>
  <si>
    <t>7 Jun '2027</t>
  </si>
  <si>
    <t>ABHISHEK GUPTA</t>
  </si>
  <si>
    <t>PRAKHATI CHATURVEDI</t>
  </si>
  <si>
    <t>BHAVNA SHARMA</t>
  </si>
  <si>
    <t>Sanjay Arora</t>
  </si>
  <si>
    <t>KANT KUNDRA</t>
  </si>
  <si>
    <t>112501113061 03</t>
  </si>
  <si>
    <t>12 Jun '2025</t>
  </si>
  <si>
    <t>Prem Bahadur</t>
  </si>
  <si>
    <t>AAKRITI SINGHAL</t>
  </si>
  <si>
    <t>UPENDRA SINGH</t>
  </si>
  <si>
    <t>20 Jun '2025</t>
  </si>
  <si>
    <t>SANDEEP KUMAR</t>
  </si>
  <si>
    <t>112501469493 00</t>
  </si>
  <si>
    <t>Kuldeep</t>
  </si>
  <si>
    <t>KHUSHBOO WADHWA - P.A</t>
  </si>
  <si>
    <t xml:space="preserve">25 Lakh  </t>
  </si>
  <si>
    <t>KHUSHBOO WADHWA</t>
  </si>
  <si>
    <t>SURJYA NEOGY - Samir</t>
  </si>
  <si>
    <t>SURJYA NEOGY - Anita</t>
  </si>
  <si>
    <t>RAHUL DEV VARMA - Surplus</t>
  </si>
  <si>
    <t>KRISHAN MOHAN</t>
  </si>
  <si>
    <t>21 Jun '2025</t>
  </si>
  <si>
    <t>DEEPAK AHUJA</t>
  </si>
  <si>
    <t>ROHAN KAPOOR - Ravi</t>
  </si>
  <si>
    <t>SURINDER GOYAL - Kailash Devi</t>
  </si>
  <si>
    <t xml:space="preserve">SATISH  </t>
  </si>
  <si>
    <t>Jai Kumar Thakur</t>
  </si>
  <si>
    <t>ANIL KUMAR</t>
  </si>
  <si>
    <t>RAMESH KOUL</t>
  </si>
  <si>
    <t>112501747508 12</t>
  </si>
  <si>
    <t>24 Jun '2025</t>
  </si>
  <si>
    <t>VIKRAM KUMAR VERMA</t>
  </si>
  <si>
    <t>Dr. Himanshu</t>
  </si>
  <si>
    <t>NITIN DOGRA - Shobha Rani</t>
  </si>
  <si>
    <t>Sonia Arora</t>
  </si>
  <si>
    <t>GAGAN KHURANA</t>
  </si>
  <si>
    <t>Dev Khanna</t>
  </si>
  <si>
    <t>AMIT PRAKASH GUPTA</t>
  </si>
  <si>
    <t>MANVENDRA KUMAR - Ram Kumari</t>
  </si>
  <si>
    <t>July</t>
  </si>
  <si>
    <t>SANGEETA SETHI - Term 3</t>
  </si>
  <si>
    <t>P/161111/01/2024/009197</t>
  </si>
  <si>
    <t>5 July '2026</t>
  </si>
  <si>
    <t>ANITHA SREEKUMAR</t>
  </si>
  <si>
    <t>RAJA HALDAR</t>
  </si>
  <si>
    <t>ALKA</t>
  </si>
  <si>
    <t>ASHWANI AHUJA - Sushila</t>
  </si>
  <si>
    <t>PRAMOD KUMAR SAXENA</t>
  </si>
  <si>
    <t>112503516195 00</t>
  </si>
  <si>
    <t>16 July '2025</t>
  </si>
  <si>
    <t>PREM BAHADUR</t>
  </si>
  <si>
    <t>SANJAY KUMAR - Shakuntala</t>
  </si>
  <si>
    <t>AAKASH PANDEY</t>
  </si>
  <si>
    <t>SANJEEV KUMAR</t>
  </si>
  <si>
    <t>GAGANJEET SINGH</t>
  </si>
  <si>
    <t>GURVINDER SINGH ARORA</t>
  </si>
  <si>
    <t>NIDHI GANGIA</t>
  </si>
  <si>
    <t>SATPAL SINGH</t>
  </si>
  <si>
    <t>112503765601 04</t>
  </si>
  <si>
    <t>20 July '2025</t>
  </si>
  <si>
    <t>99910 15100</t>
  </si>
  <si>
    <t>25 July '2024</t>
  </si>
  <si>
    <t>25 Lakh - 10 Deduct.</t>
  </si>
  <si>
    <t>STEVEN LAWRENCE</t>
  </si>
  <si>
    <t>7840018899 / 9958008312 / 9873352585</t>
  </si>
  <si>
    <t>ZOHRA LAWRENCE</t>
  </si>
  <si>
    <t>20 Lakh</t>
  </si>
  <si>
    <t>LAWRENCE JOY</t>
  </si>
  <si>
    <t>SURESH CHAUHAN</t>
  </si>
  <si>
    <t>MAHENDER SINGH</t>
  </si>
  <si>
    <t>29 July '2025</t>
  </si>
  <si>
    <t>Rajesh Khurana</t>
  </si>
  <si>
    <t>August</t>
  </si>
  <si>
    <t>SANGEETA GUPTA</t>
  </si>
  <si>
    <t>112504875354 07</t>
  </si>
  <si>
    <t>3 Aug '2025</t>
  </si>
  <si>
    <t>DALVENDRA SINGH</t>
  </si>
  <si>
    <t>112506087149 00</t>
  </si>
  <si>
    <t>7 Aug '2025</t>
  </si>
  <si>
    <t>Ergo Client</t>
  </si>
  <si>
    <t>TUSHAR VERMA</t>
  </si>
  <si>
    <t>RAHUL KUMAR</t>
  </si>
  <si>
    <t>JYOTI AGGARWAL (Promila)</t>
  </si>
  <si>
    <t>16 Aug '2025</t>
  </si>
  <si>
    <t>SISHANT SADH</t>
  </si>
  <si>
    <t>112506962532 02</t>
  </si>
  <si>
    <t>T. GOPINADHAN PILLAI</t>
  </si>
  <si>
    <t>19 Aug '2025</t>
  </si>
  <si>
    <t>VIKRANT CHAUDHARY</t>
  </si>
  <si>
    <t>20 Aug '2025</t>
  </si>
  <si>
    <t>RAJESH KHATRI</t>
  </si>
  <si>
    <t>23 Aug '2025</t>
  </si>
  <si>
    <t>RAHUL DEV VERMA - Devendra</t>
  </si>
  <si>
    <t>26 Aug '2025</t>
  </si>
  <si>
    <t>RAHUL DEV VERMA</t>
  </si>
  <si>
    <t>SHIV KUMAR</t>
  </si>
  <si>
    <t>112507393827 00</t>
  </si>
  <si>
    <t>28 Aug '2025</t>
  </si>
  <si>
    <t xml:space="preserve">BRAHAM PAL NAGAR </t>
  </si>
  <si>
    <t>29 Aug '2025</t>
  </si>
  <si>
    <t>VARUN VASUDEVAN - 3 Yrs</t>
  </si>
  <si>
    <t>112502834897 07</t>
  </si>
  <si>
    <t>29 Aug '2027</t>
  </si>
  <si>
    <t>SONIKA KATYAL</t>
  </si>
  <si>
    <t>KAMAL MOHAN NARANG</t>
  </si>
  <si>
    <t>Sonia Kaur Guru</t>
  </si>
  <si>
    <t>September</t>
  </si>
  <si>
    <t>DEEPAK BANSAL - Tina</t>
  </si>
  <si>
    <t>RISHABH JAIN</t>
  </si>
  <si>
    <t>SATISH CHAND GARG</t>
  </si>
  <si>
    <t>10 L - Dedut 1 Lakh</t>
  </si>
  <si>
    <t>MANOJ KUMAR</t>
  </si>
  <si>
    <t>112508223171 07</t>
  </si>
  <si>
    <t>11 Sep '2025</t>
  </si>
  <si>
    <t>RASHMI SINGH - 2 Years</t>
  </si>
  <si>
    <t>Vipin B Ashok</t>
  </si>
  <si>
    <t>SHAMAN ARORA - 2 Yrs</t>
  </si>
  <si>
    <t>112508463361 00</t>
  </si>
  <si>
    <t>15 Sep '2026</t>
  </si>
  <si>
    <t>SHAMAN ARORA - Usha Kiran Arora - 2 Yrs</t>
  </si>
  <si>
    <t>112510244494 00</t>
  </si>
  <si>
    <t>26 Sep '2026</t>
  </si>
  <si>
    <t>UTKARSH RAJPUT</t>
  </si>
  <si>
    <t>ENGLISH</t>
  </si>
  <si>
    <t>17 Sep '2025</t>
  </si>
  <si>
    <t>PANKAJ KUMAR CHOUDHARY</t>
  </si>
  <si>
    <t>PARUL GARG GAUTAM</t>
  </si>
  <si>
    <t>HARIDVARI</t>
  </si>
  <si>
    <t>Amit Kumar</t>
  </si>
  <si>
    <t>NEERAJ KUMAR</t>
  </si>
  <si>
    <t>MUKESH</t>
  </si>
  <si>
    <t>112510127634 02</t>
  </si>
  <si>
    <t>28 Sep '2025</t>
  </si>
  <si>
    <t>Mukul - Rajesh Vats</t>
  </si>
  <si>
    <t>October</t>
  </si>
  <si>
    <t>MADHU SHARMA</t>
  </si>
  <si>
    <t>Varun Sharma</t>
  </si>
  <si>
    <t>NANDITA ROY</t>
  </si>
  <si>
    <t>9818576309 / 9716527771</t>
  </si>
  <si>
    <t>MAHESH CHANDRA</t>
  </si>
  <si>
    <t>6 Oct '2025</t>
  </si>
  <si>
    <t>RAVI JAIN</t>
  </si>
  <si>
    <t>AMIT GOEL</t>
  </si>
  <si>
    <t>112404503956 02</t>
  </si>
  <si>
    <t>17 Oct '2025</t>
  </si>
  <si>
    <t>JEET WALIA</t>
  </si>
  <si>
    <t>Anil Walia - Roots Tower</t>
  </si>
  <si>
    <t>ABHISHEK JAIN</t>
  </si>
  <si>
    <t>PRADEEP KUMAR</t>
  </si>
  <si>
    <t>PAWAN KUMAR</t>
  </si>
  <si>
    <t>November</t>
  </si>
  <si>
    <t>GURPREET SINGH</t>
  </si>
  <si>
    <t>1 Nov '2025</t>
  </si>
  <si>
    <t>URMILA RANI</t>
  </si>
  <si>
    <t>ASHU</t>
  </si>
  <si>
    <t>8 Nov '2025</t>
  </si>
  <si>
    <t>ASHU - P.A</t>
  </si>
  <si>
    <t>RAMA DEVI</t>
  </si>
  <si>
    <t>112404979844 12</t>
  </si>
  <si>
    <t>MUKESH KUMAR - Lakshmi</t>
  </si>
  <si>
    <t>112405007317 08</t>
  </si>
  <si>
    <t>9 Nov '2025</t>
  </si>
  <si>
    <t>RACHNA SHARMA</t>
  </si>
  <si>
    <t>RAKHI SAGAR</t>
  </si>
  <si>
    <t>AJAY MUTREJA</t>
  </si>
  <si>
    <t>PARTH MUTREJA</t>
  </si>
  <si>
    <t>ISHIKA JAIN</t>
  </si>
  <si>
    <t>18 Nov '2025</t>
  </si>
  <si>
    <t>NISHANT GUPTA</t>
  </si>
  <si>
    <t>112404993767 04</t>
  </si>
  <si>
    <t>23 Nov '2025</t>
  </si>
  <si>
    <t>PRADEEP KUMAR GUPTA</t>
  </si>
  <si>
    <t>112513786103 00</t>
  </si>
  <si>
    <t>24 Nov '2025</t>
  </si>
  <si>
    <t>VINAY GUPTA</t>
  </si>
  <si>
    <t>28 Nov '2024</t>
  </si>
  <si>
    <t>ANSUMAN GUPTA</t>
  </si>
  <si>
    <t>UMESH KUMAR GUPTA - Murti Devi</t>
  </si>
  <si>
    <t>VIJAY CHADHA</t>
  </si>
  <si>
    <t>112405048524 05</t>
  </si>
  <si>
    <t>29 Nov '2025</t>
  </si>
  <si>
    <t>ANKIT JAISWAL</t>
  </si>
  <si>
    <t>December</t>
  </si>
  <si>
    <t>CHIRAG GUPTA</t>
  </si>
  <si>
    <t>MANDEEP SINGH - Manohar Singh - 3 Yrs</t>
  </si>
  <si>
    <t>112514580081 00</t>
  </si>
  <si>
    <t>4 Dec '2027</t>
  </si>
  <si>
    <t>10 L - 50 K</t>
  </si>
  <si>
    <t>RAVNEET KAUR</t>
  </si>
  <si>
    <t>VIRENDRA KUMAR</t>
  </si>
  <si>
    <t>Ajoy Biswas</t>
  </si>
  <si>
    <t>RASHMI WADHWA</t>
  </si>
  <si>
    <t>HARMINDER</t>
  </si>
  <si>
    <t>Rohit Choudhary</t>
  </si>
  <si>
    <t>VIKRAM CHADHA</t>
  </si>
  <si>
    <t>27 Dec '2025</t>
  </si>
  <si>
    <t>AMIT GUPTA - Amrish / Sushma</t>
  </si>
  <si>
    <t>29611125002332 50</t>
  </si>
  <si>
    <t>30 Dec '2025</t>
  </si>
  <si>
    <t>NAVEEN KUMAR</t>
  </si>
  <si>
    <t xml:space="preserve"> </t>
  </si>
  <si>
    <t xml:space="preserve">HDFC ERGO </t>
  </si>
  <si>
    <t xml:space="preserve">January </t>
  </si>
  <si>
    <t>S.I</t>
  </si>
  <si>
    <t>Amit Kumar Sarkar - Saroj Sarkar</t>
  </si>
  <si>
    <t>Pradeep Kumar - K.Ngr</t>
  </si>
  <si>
    <t>Arun Batra</t>
  </si>
  <si>
    <t>Sandeep Katyal</t>
  </si>
  <si>
    <t>Rajesh Sawhney</t>
  </si>
  <si>
    <t>Varun Chauhan</t>
  </si>
  <si>
    <t>9 Jan '2025</t>
  </si>
  <si>
    <t>2856 2051 7008 4400 000 - Secure - UR</t>
  </si>
  <si>
    <t>Prince</t>
  </si>
  <si>
    <t>Azad Singh Bhati</t>
  </si>
  <si>
    <t>Rajesh Kumar - Palwal</t>
  </si>
  <si>
    <t>14 Jan '2026</t>
  </si>
  <si>
    <t>Gaurav - Palwal</t>
  </si>
  <si>
    <t>Bhavkaran Singh Malhotra - 3 Yrs</t>
  </si>
  <si>
    <t>2856 2060 3322 2100 000 - Secure - UR</t>
  </si>
  <si>
    <t>14 Jan '2027</t>
  </si>
  <si>
    <t>50 Lakh</t>
  </si>
  <si>
    <t>Bathwal</t>
  </si>
  <si>
    <t>Rakesh Maskara</t>
  </si>
  <si>
    <t>2856 2060 3318 4800 000 - Secur - UR</t>
  </si>
  <si>
    <t>Anu Ohri</t>
  </si>
  <si>
    <t>Manya Duggal</t>
  </si>
  <si>
    <t>16 Jan '2026</t>
  </si>
  <si>
    <t>5 L- Dedut.1 L</t>
  </si>
  <si>
    <t>Manya Duggal - Pooja</t>
  </si>
  <si>
    <t>Rajeshwari Yadav</t>
  </si>
  <si>
    <t>2814 2051 8176 8402 000 - Energy Plan</t>
  </si>
  <si>
    <t>17 Jan '2026</t>
  </si>
  <si>
    <t>Mahender</t>
  </si>
  <si>
    <t>Aniket - Star C</t>
  </si>
  <si>
    <t>Sudhir Agarwal</t>
  </si>
  <si>
    <t>Sarita Banka</t>
  </si>
  <si>
    <t>Tukul Rani Shikdar</t>
  </si>
  <si>
    <t>Karanjeet Singh Saini - P.A</t>
  </si>
  <si>
    <t>31 Lakh</t>
  </si>
  <si>
    <t>Suman Rooka</t>
  </si>
  <si>
    <t>Manoj Kumar Agarwalla - 3 Yrs</t>
  </si>
  <si>
    <t>2856 2071 5422 8200 000 - Secure - UR</t>
  </si>
  <si>
    <t>4 Feb '2028</t>
  </si>
  <si>
    <t>Meenu Mehra</t>
  </si>
  <si>
    <t>2856 2052 1795 1402 000 - Secure - UR</t>
  </si>
  <si>
    <t>4 Feb '2026</t>
  </si>
  <si>
    <t>Anuj Kakker</t>
  </si>
  <si>
    <t>Ritesh Kumar Rastogi - 3 Yrs</t>
  </si>
  <si>
    <t>2856 2061 1606 0900 000 - UR</t>
  </si>
  <si>
    <t>6 Feb '2027</t>
  </si>
  <si>
    <t>Prateek Rastogi</t>
  </si>
  <si>
    <t>Rajesh Rastogi - 3 Yrs</t>
  </si>
  <si>
    <t>2856 2060 7431 6600 000 - UR</t>
  </si>
  <si>
    <t>Pawan Kumar Raghav - P.A</t>
  </si>
  <si>
    <t>Ravi Arora</t>
  </si>
  <si>
    <t>9999887794</t>
  </si>
  <si>
    <t>Aman Jha</t>
  </si>
  <si>
    <t>Amit Chauhan</t>
  </si>
  <si>
    <t>Dr Yogesh Kumar Kushwaha - 2 Yrs</t>
  </si>
  <si>
    <t xml:space="preserve">2805 2035 1883 0903 000 - Optima </t>
  </si>
  <si>
    <t>7 Feb '2027</t>
  </si>
  <si>
    <t>Pradeep Kumar Lakhani - 3 Yrs</t>
  </si>
  <si>
    <t>2856 2071 5575 0400 000 - Super Secure - UR</t>
  </si>
  <si>
    <t>8 Feb '2028</t>
  </si>
  <si>
    <t>Anil Walia</t>
  </si>
  <si>
    <t>2856 2060 6449 7801 000 - Secure - UR</t>
  </si>
  <si>
    <t>Sandeep Kumar Rajpal</t>
  </si>
  <si>
    <t>9811103599</t>
  </si>
  <si>
    <t>Rajesh Jain</t>
  </si>
  <si>
    <t>Jagdish Kaliraman</t>
  </si>
  <si>
    <t>1 Cr</t>
  </si>
  <si>
    <t>Mahesh Makkar</t>
  </si>
  <si>
    <t>Sanjay Kumar Kaushish</t>
  </si>
  <si>
    <t>2856 2060 9224 6901 000 - Secure - UR</t>
  </si>
  <si>
    <t>Sameer Dogra</t>
  </si>
  <si>
    <t>Sandhya</t>
  </si>
  <si>
    <t>Narender Kumar Soni</t>
  </si>
  <si>
    <t>15 Feb '2025</t>
  </si>
  <si>
    <t>9346292911</t>
  </si>
  <si>
    <t>Krishna Gopal Bansal - 3 Yrs</t>
  </si>
  <si>
    <t>Umesh Chand</t>
  </si>
  <si>
    <t>Rekha Rani</t>
  </si>
  <si>
    <t xml:space="preserve">Gaurav Jain </t>
  </si>
  <si>
    <t>9818399955</t>
  </si>
  <si>
    <t>Raj Kishor Singh</t>
  </si>
  <si>
    <t>Raj Kishor Singh - Accident</t>
  </si>
  <si>
    <t>16 lakh</t>
  </si>
  <si>
    <t>Rahul Gupta</t>
  </si>
  <si>
    <t>Pankhuri Dhingra</t>
  </si>
  <si>
    <t>9999238154</t>
  </si>
  <si>
    <t>Vikas Wadhwa</t>
  </si>
  <si>
    <t>Anuj Kumar Shukla</t>
  </si>
  <si>
    <t>Mukesh Kumar - Faridabad</t>
  </si>
  <si>
    <t xml:space="preserve">10 Lakh </t>
  </si>
  <si>
    <t>9811773717</t>
  </si>
  <si>
    <t>Durga Gupta - 3 Yrs</t>
  </si>
  <si>
    <t>2856 2060 8531 1200 000 - UR</t>
  </si>
  <si>
    <t>22 Feb '2027</t>
  </si>
  <si>
    <t>Megha - Siddharth Singhal - 3 Yrs</t>
  </si>
  <si>
    <t>2856 2061 0855 9100 000 - UR</t>
  </si>
  <si>
    <t>Ashok Kumar - Asha</t>
  </si>
  <si>
    <t>9810263242</t>
  </si>
  <si>
    <t>Arun Kumar Gupta</t>
  </si>
  <si>
    <t>9810246109</t>
  </si>
  <si>
    <t>Anjali Gupta - 3 Yrs</t>
  </si>
  <si>
    <t xml:space="preserve">Rajesh Kumar Aggarwal </t>
  </si>
  <si>
    <t>Anita - Rajesh - P.A</t>
  </si>
  <si>
    <t>16 Lakh</t>
  </si>
  <si>
    <t>Kamal Kumar Shukla</t>
  </si>
  <si>
    <t>2805 2035 3482 3804 000 - UR</t>
  </si>
  <si>
    <t>22 Feb '2025</t>
  </si>
  <si>
    <t>Vikas Gupta</t>
  </si>
  <si>
    <t>Sanchita Ghosh (Putul)</t>
  </si>
  <si>
    <t>2856 2052 1774 5102 000</t>
  </si>
  <si>
    <t>27 Feb '2026</t>
  </si>
  <si>
    <t>Himanshu Gupta</t>
  </si>
  <si>
    <t>9910861927</t>
  </si>
  <si>
    <t>Sudhir Kumar Gupta</t>
  </si>
  <si>
    <t>Virender Prashad Jain</t>
  </si>
  <si>
    <t>Geeta Kumar</t>
  </si>
  <si>
    <t>Bharat Kumar - Rewari - 3 Yrs</t>
  </si>
  <si>
    <t>9315134329</t>
  </si>
  <si>
    <t>Anupam Shrivastava</t>
  </si>
  <si>
    <t>Anurag Ohri</t>
  </si>
  <si>
    <t>2805 2035 3200 2404 000</t>
  </si>
  <si>
    <t>Gagandeep Singh</t>
  </si>
  <si>
    <t>2856 2061 8884 9400 000 - UR</t>
  </si>
  <si>
    <t>10 Mar '2025</t>
  </si>
  <si>
    <t>5L -Dedt.25K</t>
  </si>
  <si>
    <t>Jatinder Kaur</t>
  </si>
  <si>
    <t>Vinod Kumar Rana</t>
  </si>
  <si>
    <t>Vinod Kumar Rana - Sapna</t>
  </si>
  <si>
    <t>Amit Singh Chauhan</t>
  </si>
  <si>
    <t>Bharat Kumar - M.Vihar</t>
  </si>
  <si>
    <t>Neelu Arora</t>
  </si>
  <si>
    <t>Suraj Arora</t>
  </si>
  <si>
    <t>Kanchan Makker</t>
  </si>
  <si>
    <t>15 Mar '2025</t>
  </si>
  <si>
    <t>Vikash Gupta</t>
  </si>
  <si>
    <t>8585950911</t>
  </si>
  <si>
    <t xml:space="preserve">Mayank Sharma </t>
  </si>
  <si>
    <t>9887407301</t>
  </si>
  <si>
    <t>Maneesh Jain - 2 Yrs</t>
  </si>
  <si>
    <t>2805 2035 3102 1502 000 - UR</t>
  </si>
  <si>
    <t>2805 2035 2716 2803 000 - WR / UR</t>
  </si>
  <si>
    <t>16 Mar '2027</t>
  </si>
  <si>
    <t xml:space="preserve">Ritu Jain  - Accident   </t>
  </si>
  <si>
    <t>28 Mar '2026</t>
  </si>
  <si>
    <t>Satender Pal Singh</t>
  </si>
  <si>
    <t>Rupinder Kaur</t>
  </si>
  <si>
    <t>Anand Ohri - P.A</t>
  </si>
  <si>
    <t>Arun Kumar Chaudhary - 2 Yrs</t>
  </si>
  <si>
    <t>Mohammed Mushtaq Basha - P.A</t>
  </si>
  <si>
    <t>Deepak Sethi</t>
  </si>
  <si>
    <t>2856 2062 2146 5100 000 - UR</t>
  </si>
  <si>
    <t>21 Mar '2027</t>
  </si>
  <si>
    <t>Anthony Gomes</t>
  </si>
  <si>
    <t>9953242710</t>
  </si>
  <si>
    <t>Sohan Kumar Yadav</t>
  </si>
  <si>
    <t>2806 2035 7531 4404 000</t>
  </si>
  <si>
    <t>Yashwant Sharma</t>
  </si>
  <si>
    <t>Kishore Sahijani</t>
  </si>
  <si>
    <t>24 Mar '2025</t>
  </si>
  <si>
    <t>Dharmendra Kumar Jha - Term-2</t>
  </si>
  <si>
    <t>9350005152</t>
  </si>
  <si>
    <t>Vikas Chawla</t>
  </si>
  <si>
    <t>Priscilla Chawla</t>
  </si>
  <si>
    <t>Gopal Krishan</t>
  </si>
  <si>
    <t>9999423049</t>
  </si>
  <si>
    <t>9953439070</t>
  </si>
  <si>
    <t>Sanjeev Jain</t>
  </si>
  <si>
    <t>2856 2062 5895 4900 000</t>
  </si>
  <si>
    <t>Brij Mohan</t>
  </si>
  <si>
    <t>9910448725</t>
  </si>
  <si>
    <t>Sanjay</t>
  </si>
  <si>
    <t>Deepanshu Gandhi - Pushpa</t>
  </si>
  <si>
    <t>Deepanshu Gandhi</t>
  </si>
  <si>
    <t>9999020117</t>
  </si>
  <si>
    <t>Mukesh Kumar</t>
  </si>
  <si>
    <t>9810599671</t>
  </si>
  <si>
    <t>Mukesh Kumar - P.A</t>
  </si>
  <si>
    <t>Ramesh Chand</t>
  </si>
  <si>
    <t>9871908775</t>
  </si>
  <si>
    <t>Akhil Jhamb</t>
  </si>
  <si>
    <t>Pankaj Kumar - Gandhi Ngr.</t>
  </si>
  <si>
    <t>Pankaj Kumar - Gandhi Ngr. (P.A)</t>
  </si>
  <si>
    <t>Durga Gupta - P.A</t>
  </si>
  <si>
    <t>3317 2062 7563 9700 000</t>
  </si>
  <si>
    <t>Abhishek Gupta</t>
  </si>
  <si>
    <t>2856 2060 9757 6200 000 - UR</t>
  </si>
  <si>
    <t>5 L-Dedt.50 K</t>
  </si>
  <si>
    <t>Kamlesh Kumar Tiwari - Term - 2</t>
  </si>
  <si>
    <t>9310019131</t>
  </si>
  <si>
    <t>Shalini Raswant - 2 Yrs</t>
  </si>
  <si>
    <t>30 Mar '2026</t>
  </si>
  <si>
    <t>Vivek Deshwal</t>
  </si>
  <si>
    <t>Pushker Karbanda</t>
  </si>
  <si>
    <t>3367 2061 8036 5500 000 - Travel</t>
  </si>
  <si>
    <t>3 Apl '2024</t>
  </si>
  <si>
    <t>Shalini Singh</t>
  </si>
  <si>
    <t>9891220496</t>
  </si>
  <si>
    <t>Shiv Kumar Sharma</t>
  </si>
  <si>
    <t>7678492002</t>
  </si>
  <si>
    <t>Rajeh Sawhney</t>
  </si>
  <si>
    <t>Devki Nandan Pandey</t>
  </si>
  <si>
    <t>Manish Babbar</t>
  </si>
  <si>
    <t>2805 2036 1264 7404 000 - UR</t>
  </si>
  <si>
    <t>13 Apl '2025</t>
  </si>
  <si>
    <t>9810500257</t>
  </si>
  <si>
    <t xml:space="preserve">Prince </t>
  </si>
  <si>
    <t>14 Apl '2025</t>
  </si>
  <si>
    <t>Ramesh Chand - (P.A)</t>
  </si>
  <si>
    <t>9315099761 - 8368812539</t>
  </si>
  <si>
    <t>Yash Gupta - Term 2</t>
  </si>
  <si>
    <t>Rajesh Kain</t>
  </si>
  <si>
    <t>Naveen Kumar Goel</t>
  </si>
  <si>
    <t>Sweta Roy</t>
  </si>
  <si>
    <t>Shailesh Kumar Mittal - 2 Yrs</t>
  </si>
  <si>
    <t>2856 2063 4709 7200 000 - UR</t>
  </si>
  <si>
    <t>23 Apl '2026</t>
  </si>
  <si>
    <t>Elizabeth Siju</t>
  </si>
  <si>
    <t>Meenu Kundra</t>
  </si>
  <si>
    <t>K.K. Arora</t>
  </si>
  <si>
    <t>Ashutosh Negi</t>
  </si>
  <si>
    <t>9811061189</t>
  </si>
  <si>
    <t>Archika Jain</t>
  </si>
  <si>
    <t>9811331212</t>
  </si>
  <si>
    <t>Harvinder Singh Sethi</t>
  </si>
  <si>
    <t>Vikas Mallik</t>
  </si>
  <si>
    <t>9654840800</t>
  </si>
  <si>
    <t>Deepak</t>
  </si>
  <si>
    <t>2805 2036 0873 8104 000 - UR</t>
  </si>
  <si>
    <t>Shalabh Rastogi</t>
  </si>
  <si>
    <t>Mamta Bhati</t>
  </si>
  <si>
    <t>Sandeep Kumar</t>
  </si>
  <si>
    <t>9990906083</t>
  </si>
  <si>
    <t>Sanjay Gautam</t>
  </si>
  <si>
    <t>Jitendra Kumar</t>
  </si>
  <si>
    <t>9312412341</t>
  </si>
  <si>
    <t>Biswajit Pramanik</t>
  </si>
  <si>
    <t>10 L - 25K Dedut.</t>
  </si>
  <si>
    <t>Ravindra Kumar Arora - 2 Yrs</t>
  </si>
  <si>
    <t>2805 2036 5192 2002 000 - UR</t>
  </si>
  <si>
    <t>23 May '2026</t>
  </si>
  <si>
    <t>Sakshi Arora</t>
  </si>
  <si>
    <t>9899166956</t>
  </si>
  <si>
    <t>9811360089</t>
  </si>
  <si>
    <t>Ankit Aggarwal - 3 Yrs</t>
  </si>
  <si>
    <t>2856 2064 5294 3400 000 - UR</t>
  </si>
  <si>
    <t>28 May '2027</t>
  </si>
  <si>
    <t>9716489778</t>
  </si>
  <si>
    <t xml:space="preserve">Yogesh Kumar </t>
  </si>
  <si>
    <t xml:space="preserve">Renu Bhatla </t>
  </si>
  <si>
    <t>Yogesh Suman</t>
  </si>
  <si>
    <t>30 May '2025</t>
  </si>
  <si>
    <t>9911949599 / 9212541051</t>
  </si>
  <si>
    <t>Aadi Jain</t>
  </si>
  <si>
    <t>2805 2036 2038 4904 000 - UR</t>
  </si>
  <si>
    <t>Kamal Batra</t>
  </si>
  <si>
    <t>Vikas Malik</t>
  </si>
  <si>
    <t>Shyam Sunder Sharma - Monika</t>
  </si>
  <si>
    <t>Mina Gupta</t>
  </si>
  <si>
    <t>2806 2065 9431 5900 001</t>
  </si>
  <si>
    <t>6 Jun '2025</t>
  </si>
  <si>
    <t>Shikha Gupta</t>
  </si>
  <si>
    <t>2805 2041 7474 8901 000  - URB</t>
  </si>
  <si>
    <t>Payal Gupta</t>
  </si>
  <si>
    <t>2805 2054 8141 6200 000</t>
  </si>
  <si>
    <t>Kumar Gourav Gupta</t>
  </si>
  <si>
    <t>Jaya Walia</t>
  </si>
  <si>
    <t>Shammi Kapoor</t>
  </si>
  <si>
    <t>9 Jun '2025</t>
  </si>
  <si>
    <t>9899665330</t>
  </si>
  <si>
    <t>Jai Bhagwan - Karan</t>
  </si>
  <si>
    <t>Jai Bhagwan - Riya Rawal</t>
  </si>
  <si>
    <t>Manoj Goswami - 2 Yrs</t>
  </si>
  <si>
    <t>Munish Kumar Gupta</t>
  </si>
  <si>
    <t>9811093600</t>
  </si>
  <si>
    <t>Monty Sarkar</t>
  </si>
  <si>
    <t>Faiz Ahmed</t>
  </si>
  <si>
    <t>9717302675</t>
  </si>
  <si>
    <t>Ravendra Pal Singh - P.A</t>
  </si>
  <si>
    <t>Megha Sharma</t>
  </si>
  <si>
    <t>Piyush Bhatnagar</t>
  </si>
  <si>
    <t>9711374440</t>
  </si>
  <si>
    <t>Kavita Ramaprakash</t>
  </si>
  <si>
    <t>Biramvati</t>
  </si>
  <si>
    <t>Abhishek Sharma - Shadhra</t>
  </si>
  <si>
    <t>9650806725 / 8376052031</t>
  </si>
  <si>
    <t>Manoj Gupta</t>
  </si>
  <si>
    <t>Harsh Kumar</t>
  </si>
  <si>
    <t>9810033147</t>
  </si>
  <si>
    <t>Anupam Gaitonde - 2 Yrs</t>
  </si>
  <si>
    <t>9818426160</t>
  </si>
  <si>
    <t>Babita Agarwal</t>
  </si>
  <si>
    <t>Shalini Aggarwal - 3 Yrs</t>
  </si>
  <si>
    <t>2856 2055 3174 5100 000 - UR</t>
  </si>
  <si>
    <t>8 July '2026</t>
  </si>
  <si>
    <t>Chirag</t>
  </si>
  <si>
    <t>Rahul Srivastava</t>
  </si>
  <si>
    <t>Divyank Aggarwal - 3 Yrs</t>
  </si>
  <si>
    <t xml:space="preserve">2055 4701 2800 000 </t>
  </si>
  <si>
    <t>11 July '2026</t>
  </si>
  <si>
    <t>Rajesh Aggarwal</t>
  </si>
  <si>
    <t>Devesh Kumar</t>
  </si>
  <si>
    <t>Rajeev Kumar Gupta - 2 Yrs</t>
  </si>
  <si>
    <t>2805 2036 4614 0002 000 - UR</t>
  </si>
  <si>
    <t>15 July '2026</t>
  </si>
  <si>
    <t>Sapna Jain - 2 Yrs</t>
  </si>
  <si>
    <t>Satish Kumar</t>
  </si>
  <si>
    <t>2805 2036 0703 8404 000 - UR</t>
  </si>
  <si>
    <t>Shine Arora</t>
  </si>
  <si>
    <t>Ayush Mishra</t>
  </si>
  <si>
    <t>Renu</t>
  </si>
  <si>
    <t>9811577802/ 8860588316</t>
  </si>
  <si>
    <t xml:space="preserve">Raman Kumar </t>
  </si>
  <si>
    <t>Kavita Basha - 2 Yrs</t>
  </si>
  <si>
    <t>2805 2036 4740 8002 000 - WR/UR</t>
  </si>
  <si>
    <t>21 July '2026</t>
  </si>
  <si>
    <t>Yogendra Singh Bhati</t>
  </si>
  <si>
    <t>2805 2035 9232 5804 000 - WR/UR/H.Cash</t>
  </si>
  <si>
    <t>23 July '2025</t>
  </si>
  <si>
    <t>9899825288</t>
  </si>
  <si>
    <t>Anurag Ohri - P.A</t>
  </si>
  <si>
    <t>Binay Bhushan Singh - 3 Yrs</t>
  </si>
  <si>
    <t>2856 2047 8022 0800 000</t>
  </si>
  <si>
    <t>24 July '2025</t>
  </si>
  <si>
    <t>Sandeep Gupta</t>
  </si>
  <si>
    <t>9015431558</t>
  </si>
  <si>
    <t>Praveen Kumar Rastogi</t>
  </si>
  <si>
    <t>Jyoti Arora</t>
  </si>
  <si>
    <t>Vikas Chauhan</t>
  </si>
  <si>
    <t>9958923079</t>
  </si>
  <si>
    <t>Arjinder Singh Arora</t>
  </si>
  <si>
    <t>Avinash Bhardwaj</t>
  </si>
  <si>
    <t>2856 2066 7239 3000 000 - UR</t>
  </si>
  <si>
    <t xml:space="preserve">28 July '2025 </t>
  </si>
  <si>
    <t>Isha Bhardwaj</t>
  </si>
  <si>
    <t>2805 2066 5726 5100 000</t>
  </si>
  <si>
    <t xml:space="preserve">29 July '2025 </t>
  </si>
  <si>
    <t>Randhir Kumar Jha - Soni Devi</t>
  </si>
  <si>
    <t>Sunil Kumar Saini</t>
  </si>
  <si>
    <t>2805 2035 9885 7904 000</t>
  </si>
  <si>
    <t>Harpreet Singh</t>
  </si>
  <si>
    <t>Veenu Batra</t>
  </si>
  <si>
    <t>Gagan Anand</t>
  </si>
  <si>
    <t>2856 2054 8734 5300 000 - UR</t>
  </si>
  <si>
    <t>30 July '2026</t>
  </si>
  <si>
    <t>9897030005</t>
  </si>
  <si>
    <t>Dinesh Sharma</t>
  </si>
  <si>
    <t>Jitender Srivastav</t>
  </si>
  <si>
    <t>Roots Tower</t>
  </si>
  <si>
    <t>Manish Kumar</t>
  </si>
  <si>
    <t>Gaurav Rastogi - 3 Yrs</t>
  </si>
  <si>
    <t>12 Aug '2027</t>
  </si>
  <si>
    <t>Praveen Kumar</t>
  </si>
  <si>
    <t>Somasundaran Pillai</t>
  </si>
  <si>
    <t>Nisha Garg</t>
  </si>
  <si>
    <t>Kapil Sud</t>
  </si>
  <si>
    <t>Sumit Gupta - 2 Yrs</t>
  </si>
  <si>
    <t>20 Aug '2026</t>
  </si>
  <si>
    <t>9818086104</t>
  </si>
  <si>
    <t>Himanshu Mangal</t>
  </si>
  <si>
    <t>Himanshu Batra</t>
  </si>
  <si>
    <t>2805 2047 9517 4702 000 - WR/UR/H.S</t>
  </si>
  <si>
    <t>22 Aug '2025</t>
  </si>
  <si>
    <t>Karan Chopra</t>
  </si>
  <si>
    <t>Harjeet Singh - Term 2</t>
  </si>
  <si>
    <t>2805 2035 8826 8202 000 - URB</t>
  </si>
  <si>
    <t>Tushant Govil</t>
  </si>
  <si>
    <t>2805 2042 6669 7803 000 - UR</t>
  </si>
  <si>
    <t>Japjeet Singh Sandhu - Term 2</t>
  </si>
  <si>
    <t>2805 2056 4732 5300 001 - URB</t>
  </si>
  <si>
    <t>24 Aug '2025</t>
  </si>
  <si>
    <t>9958925730</t>
  </si>
  <si>
    <t>Saminder Singh Bhati</t>
  </si>
  <si>
    <t>9871353556</t>
  </si>
  <si>
    <t>Sonia W/o Nand Kishor</t>
  </si>
  <si>
    <t>Neetu Jha</t>
  </si>
  <si>
    <t>Rajni Chauhan</t>
  </si>
  <si>
    <t>Nitin Sharma</t>
  </si>
  <si>
    <t>9212132511</t>
  </si>
  <si>
    <t>Somnath Chawla - 2 Yrs</t>
  </si>
  <si>
    <t>Gaurav Malhotra - P.A - 3 Yrs</t>
  </si>
  <si>
    <t xml:space="preserve">3317 2067 7748 1900 000 </t>
  </si>
  <si>
    <t>2 Sep '2027</t>
  </si>
  <si>
    <t>Gaurav Malhotra - 2 Yrs</t>
  </si>
  <si>
    <t>2805 2036 3859 9202 000 - WR/UR/H.C</t>
  </si>
  <si>
    <t>4 Sep '2026</t>
  </si>
  <si>
    <t>9891418152</t>
  </si>
  <si>
    <t>Rishabh Chaudhary - 2 Yrs</t>
  </si>
  <si>
    <t>9953424022   /9810007861</t>
  </si>
  <si>
    <t>Janardan Chaudhary - 2 Yrs</t>
  </si>
  <si>
    <t>Rajnish Kant Mishra</t>
  </si>
  <si>
    <t>Satyajeet Kumar - Kunti Devi</t>
  </si>
  <si>
    <t>Pradip Kumar Bathwal - 3 Yrs</t>
  </si>
  <si>
    <t>Renu Bathwal - 3 Yrs</t>
  </si>
  <si>
    <t>24 Sep '2025</t>
  </si>
  <si>
    <t>Parth Bhatt</t>
  </si>
  <si>
    <t>Rajesh</t>
  </si>
  <si>
    <t>Anita Kalra  - 2 Yrs</t>
  </si>
  <si>
    <t>Nidhi Jain</t>
  </si>
  <si>
    <t>Amitabh Uniyal - P.A</t>
  </si>
  <si>
    <t>Shyam Singh Shekhawat</t>
  </si>
  <si>
    <t>Pramod Kumari</t>
  </si>
  <si>
    <t>Mahender Singh Bhati</t>
  </si>
  <si>
    <t>Varun Vasudevan - 3 Yrs</t>
  </si>
  <si>
    <t>2856 2057 2116 2800 00 - UR</t>
  </si>
  <si>
    <t>24 Sep '2026</t>
  </si>
  <si>
    <t>Narinder Kumar Katyal</t>
  </si>
  <si>
    <t>Kashish Maddan</t>
  </si>
  <si>
    <t>Pradeep - P.A - Jahangirpuri</t>
  </si>
  <si>
    <t>Pardeep - Jahangirpuri</t>
  </si>
  <si>
    <t>30 Sep '2025</t>
  </si>
  <si>
    <t>Arpit Jain</t>
  </si>
  <si>
    <t>Dalvendra Singh</t>
  </si>
  <si>
    <t>Kailash Chander Pandey</t>
  </si>
  <si>
    <t>10 Oct '2025</t>
  </si>
  <si>
    <t>Lalit Yadav</t>
  </si>
  <si>
    <t>2805 2049 6669 5202 000 - WR/UR</t>
  </si>
  <si>
    <t>Rekha Katyal</t>
  </si>
  <si>
    <t>11 Oct '2025</t>
  </si>
  <si>
    <t>Sunita Dua - 3 Yrs</t>
  </si>
  <si>
    <t>2805 2037 2352 8204 000</t>
  </si>
  <si>
    <t>13 Oct '2027</t>
  </si>
  <si>
    <t>Monu Sharma - Noida</t>
  </si>
  <si>
    <t>Radhey Shyam Sharma - Noida</t>
  </si>
  <si>
    <t>Anupam Gupta - Rewari</t>
  </si>
  <si>
    <t>Vishal Anand - 3 Yrs</t>
  </si>
  <si>
    <t>2856 2057 7571 3400 000 - URB</t>
  </si>
  <si>
    <t>20 Oct '2026</t>
  </si>
  <si>
    <t>Simran Anand</t>
  </si>
  <si>
    <t>Amit Kumar Gupta</t>
  </si>
  <si>
    <t>9891378863</t>
  </si>
  <si>
    <t>Sachin Malik</t>
  </si>
  <si>
    <t>Sonu - Sharda</t>
  </si>
  <si>
    <t>Sonu</t>
  </si>
  <si>
    <t xml:space="preserve">Monu  </t>
  </si>
  <si>
    <t>Varun Gupta - (Anurag/Anita) - 2 Yrs</t>
  </si>
  <si>
    <t>2805 2038 7654 7504 000 - UR</t>
  </si>
  <si>
    <t>31 Oct '2026</t>
  </si>
  <si>
    <t>Samima Khatun</t>
  </si>
  <si>
    <t>Harish Arora</t>
  </si>
  <si>
    <t>Uma Shankar Sharma - Term - 3</t>
  </si>
  <si>
    <t>2856 2058 4222 6700 001 - UR</t>
  </si>
  <si>
    <t>12 Nov '2026</t>
  </si>
  <si>
    <t>9810394998</t>
  </si>
  <si>
    <t>13 Nov '2025</t>
  </si>
  <si>
    <t>12 Nov '2025</t>
  </si>
  <si>
    <t>Varun Seth</t>
  </si>
  <si>
    <t>9821483984</t>
  </si>
  <si>
    <t>Manoj Kumar Gupta - Manju Gupta</t>
  </si>
  <si>
    <t>Randhir Kumar Jha - Term 2</t>
  </si>
  <si>
    <t>8800111046</t>
  </si>
  <si>
    <t>Gaurav Bhatia</t>
  </si>
  <si>
    <t>9871818673</t>
  </si>
  <si>
    <t>2856 2058 9796 9100 000 - W.R</t>
  </si>
  <si>
    <t>20 Nov '2026</t>
  </si>
  <si>
    <t>Tarun Kumar - B.Shehar</t>
  </si>
  <si>
    <t>8860934386</t>
  </si>
  <si>
    <t>Debashish Karmakar</t>
  </si>
  <si>
    <t>Praveen Mishra</t>
  </si>
  <si>
    <t>Vijay Kumar Mandal</t>
  </si>
  <si>
    <t>9910533993</t>
  </si>
  <si>
    <t>Shivam Srivastav</t>
  </si>
  <si>
    <t>Nidhi Chhabra</t>
  </si>
  <si>
    <t>2856 2059 6487 9601 000 - Secure / UR</t>
  </si>
  <si>
    <t>9953298337</t>
  </si>
  <si>
    <t>Geeta Devi</t>
  </si>
  <si>
    <t>7411287901/ 8586070414</t>
  </si>
  <si>
    <t xml:space="preserve">Sumit Kumar </t>
  </si>
  <si>
    <t>Sushant Arora - Faridabad</t>
  </si>
  <si>
    <t>9810233684</t>
  </si>
  <si>
    <t>Ratish Kumar</t>
  </si>
  <si>
    <t>Nishant Kansal</t>
  </si>
  <si>
    <t>18 Dec '2025</t>
  </si>
  <si>
    <t>8006958006</t>
  </si>
  <si>
    <t>Amit Kumar Ken</t>
  </si>
  <si>
    <t>Braham Singh</t>
  </si>
  <si>
    <t>Sandeep Gupta - Shalimar Grd.</t>
  </si>
  <si>
    <t>Khushboo Bansal - Shalimar Grd.</t>
  </si>
  <si>
    <t>Kamal Kathuria</t>
  </si>
  <si>
    <t>9213922876</t>
  </si>
  <si>
    <t>Manoj Kumar Gupta</t>
  </si>
  <si>
    <t>2820 2036 9751 5805 000</t>
  </si>
  <si>
    <t>25 Dec '2025</t>
  </si>
  <si>
    <t>8826120777</t>
  </si>
  <si>
    <t>Kapil Sharma</t>
  </si>
  <si>
    <t>26 Dec '2025</t>
  </si>
  <si>
    <t>9999609062</t>
  </si>
  <si>
    <t>Randhir Kumar Jha - P.A</t>
  </si>
  <si>
    <t>2856 2059 6982 4400 000 - UR</t>
  </si>
  <si>
    <t>28 Dec '2026</t>
  </si>
  <si>
    <t>7895120324</t>
  </si>
  <si>
    <t>Pooja Chauhan</t>
  </si>
  <si>
    <t>NIVA BUPA</t>
  </si>
  <si>
    <t>January</t>
  </si>
  <si>
    <t>DAVINDER SINGH VERMA</t>
  </si>
  <si>
    <t>Satyam Goyal</t>
  </si>
  <si>
    <t>VINEET GIRI</t>
  </si>
  <si>
    <t xml:space="preserve">R.A 2.0 - 31487776202504 - Titanium+ SG+ </t>
  </si>
  <si>
    <t>7 Jan '2025</t>
  </si>
  <si>
    <t>RAVINDRA KUMAR SHARMA</t>
  </si>
  <si>
    <t>Keshav Sharma</t>
  </si>
  <si>
    <t>PANKAJ JAIMINY - 3 Yrs</t>
  </si>
  <si>
    <t>R.A - 32158463202501 - Bronze+ SG +</t>
  </si>
  <si>
    <t>8 Jan '2028</t>
  </si>
  <si>
    <t xml:space="preserve">H.R - 32171616202501 </t>
  </si>
  <si>
    <t>90 Lakh</t>
  </si>
  <si>
    <t>AJIT SINGH VERMA - P.A</t>
  </si>
  <si>
    <t>30 Lakh</t>
  </si>
  <si>
    <t>AJIT SINGH VERMA</t>
  </si>
  <si>
    <t>Son (Harsh) Death</t>
  </si>
  <si>
    <t>ATUL AGGARWAL</t>
  </si>
  <si>
    <t>VIRENDER KUKRETI - P.A</t>
  </si>
  <si>
    <t>P.A - 34597785202500</t>
  </si>
  <si>
    <t>Nagesh Bhatt</t>
  </si>
  <si>
    <t>SANJEEV KUMAR - Faridabad</t>
  </si>
  <si>
    <t>NITIN KUMAR - P.A</t>
  </si>
  <si>
    <t>P.A - 34605113202500</t>
  </si>
  <si>
    <t>VIPUL JAIN</t>
  </si>
  <si>
    <t>Manish Khosla</t>
  </si>
  <si>
    <t>R.A - 32162499202402 - W.SG</t>
  </si>
  <si>
    <t>19 Jan '2027</t>
  </si>
  <si>
    <t>Prina - 7898810116</t>
  </si>
  <si>
    <t>SANJEEV KUMAR GUPTA  - Model Town</t>
  </si>
  <si>
    <t>TARUN ARORA</t>
  </si>
  <si>
    <t>SAHIL SUNEJA - 3 Yrs</t>
  </si>
  <si>
    <t>H.R - 31529038202401</t>
  </si>
  <si>
    <t>23 Jan '2027</t>
  </si>
  <si>
    <t>90 L - D 10 L</t>
  </si>
  <si>
    <t>93501 01968</t>
  </si>
  <si>
    <t>R.A - 31529860202401 - W.SG</t>
  </si>
  <si>
    <t>24 Jan '2027</t>
  </si>
  <si>
    <t>ROOPA SOOD</t>
  </si>
  <si>
    <t xml:space="preserve">Usha / Prem </t>
  </si>
  <si>
    <t>RANDHIR KUMAR JHA - 3 Yrs</t>
  </si>
  <si>
    <t>H.R - 32209710202501</t>
  </si>
  <si>
    <t>26 Jan '2028</t>
  </si>
  <si>
    <t>PREM KUMAR SUNEJA - 3 Yrs</t>
  </si>
  <si>
    <t>H.R - 31532268202401</t>
  </si>
  <si>
    <t>26 Jan '2027</t>
  </si>
  <si>
    <t>R.A - 31533314202401</t>
  </si>
  <si>
    <t>SANJAY KUMAR GUPTA</t>
  </si>
  <si>
    <t>R.A - 32202191202501 - Bronze+ SG +</t>
  </si>
  <si>
    <t>RAJIV KUMAR JAIN</t>
  </si>
  <si>
    <t>Bharat Sanghavi</t>
  </si>
  <si>
    <t>R.A 2.0 - 32920961202502 - Bronze+ SG +</t>
  </si>
  <si>
    <t>28 Jan '2026</t>
  </si>
  <si>
    <t>K.K Arora</t>
  </si>
  <si>
    <t>SANJAY KAR</t>
  </si>
  <si>
    <t>P.A. - 32960134202502</t>
  </si>
  <si>
    <t>TANMAY KAR</t>
  </si>
  <si>
    <t>ANUPAMA KAR</t>
  </si>
  <si>
    <t>LAXMI SEHMI</t>
  </si>
  <si>
    <t>AMAN JHA - 3 Years</t>
  </si>
  <si>
    <t>H.R - 32232163202501</t>
  </si>
  <si>
    <t>6 Feb '2028</t>
  </si>
  <si>
    <t>VIRENDER KUKRETI</t>
  </si>
  <si>
    <t>PRAVEEN SINGH RAJPUT</t>
  </si>
  <si>
    <t>SURINDER GOYAL - 3 Yrs</t>
  </si>
  <si>
    <t>Aspire - 32232175202501 - Gold+ SG+</t>
  </si>
  <si>
    <t>11 Feb '2028</t>
  </si>
  <si>
    <t>HIMANI BANSAL</t>
  </si>
  <si>
    <t>14 Feb '2026</t>
  </si>
  <si>
    <t>TANMAYA SRIMAL</t>
  </si>
  <si>
    <t>ARUN KUMAR CHAUDHARY - 3 Yrs</t>
  </si>
  <si>
    <t>H.R - 32279371202501</t>
  </si>
  <si>
    <t>26 Feb '2028</t>
  </si>
  <si>
    <t>45 L - D 5L</t>
  </si>
  <si>
    <t>ASHISH KUMAR</t>
  </si>
  <si>
    <t>H.R- 31594020202504</t>
  </si>
  <si>
    <t>4 Mar '2028</t>
  </si>
  <si>
    <t>R.A - 31583869202504 - W.SG</t>
  </si>
  <si>
    <t>7 Mar '2028</t>
  </si>
  <si>
    <t>ASHISH POKHRIYAL - 3 Yrs</t>
  </si>
  <si>
    <t>HARI RAM SHARMA</t>
  </si>
  <si>
    <t>8447545090</t>
  </si>
  <si>
    <t>11 Mar '2026</t>
  </si>
  <si>
    <t>9015715854</t>
  </si>
  <si>
    <t>DEEPAK KUMAR THAKUR</t>
  </si>
  <si>
    <t>8 Mar '2025</t>
  </si>
  <si>
    <t>SACHIN GARG - 2 Yrs</t>
  </si>
  <si>
    <t>Aspire - 32301451202502 - Gold+ SG+</t>
  </si>
  <si>
    <t>8 Mar '2027</t>
  </si>
  <si>
    <t>Somakshi</t>
  </si>
  <si>
    <t>SATNAM KAUR</t>
  </si>
  <si>
    <t>9 Mar '2026</t>
  </si>
  <si>
    <t>SARVESH KUMAR AGARWAL - Bareilly</t>
  </si>
  <si>
    <t>R.A - 31602226202504 - W.SG</t>
  </si>
  <si>
    <t>SHAHID KHAN</t>
  </si>
  <si>
    <t>H.R - 32308849202402</t>
  </si>
  <si>
    <t>11 Mar '2027</t>
  </si>
  <si>
    <t>SANDEEP KUMAR GUPTA - Radhika - 3 Yrs</t>
  </si>
  <si>
    <t>H.R - 33836592202400</t>
  </si>
  <si>
    <t>RAKESH DADHWAL</t>
  </si>
  <si>
    <t>SANJAY NIJHAWAN</t>
  </si>
  <si>
    <t>P.A - 33865422202400</t>
  </si>
  <si>
    <t>14 Mar '2025</t>
  </si>
  <si>
    <t>Bhaskar</t>
  </si>
  <si>
    <t>R.A - 2.0 - DM - 33874265202400</t>
  </si>
  <si>
    <t>APOORVA KALRA - 3 Yrs</t>
  </si>
  <si>
    <t>R.A - 31609356202401 - W.SG</t>
  </si>
  <si>
    <t>20 Mar '2027</t>
  </si>
  <si>
    <t>R.A - 31543704202401 - W.SG +</t>
  </si>
  <si>
    <t>26 Mar '2027</t>
  </si>
  <si>
    <t>H.R - 31621806202401</t>
  </si>
  <si>
    <t>LAKHVINDER SINGH</t>
  </si>
  <si>
    <t>9911022225 Son Tushar</t>
  </si>
  <si>
    <t>BHARAT - 3 Yrs</t>
  </si>
  <si>
    <t>SIDDHARTH SINGHAL - 3 Yrs</t>
  </si>
  <si>
    <t>H.R - 32366890202501</t>
  </si>
  <si>
    <t>31 Mar '2028</t>
  </si>
  <si>
    <t>NISHEE</t>
  </si>
  <si>
    <t>SWETA ROY</t>
  </si>
  <si>
    <t>SUROJIT ROY</t>
  </si>
  <si>
    <t>ASHA TANWAR - Parents</t>
  </si>
  <si>
    <t>MANVENDRA KUMAR</t>
  </si>
  <si>
    <t>SOURAB KATARYA</t>
  </si>
  <si>
    <t>PRADIP KUMAR BATHWAL</t>
  </si>
  <si>
    <t>H.C - 32406589202401</t>
  </si>
  <si>
    <t>10 May '2027</t>
  </si>
  <si>
    <t>MAGDALENE GOMES</t>
  </si>
  <si>
    <t>9953467674</t>
  </si>
  <si>
    <t>SHOBHA ROHATGI</t>
  </si>
  <si>
    <t>GAGAN ANAND - Bhavya - 3 Yrs</t>
  </si>
  <si>
    <t>19 May '2027</t>
  </si>
  <si>
    <t>M SATHIS KUMAR</t>
  </si>
  <si>
    <t>ASHOK KUMAR</t>
  </si>
  <si>
    <t>Deepak Kapoor</t>
  </si>
  <si>
    <t>SEEMA KALA</t>
  </si>
  <si>
    <t>HINA GHELANI</t>
  </si>
  <si>
    <t>LALIT KUMAR GUPTA</t>
  </si>
  <si>
    <t>R.A - 33307401202300</t>
  </si>
  <si>
    <t>14 Jul '2026</t>
  </si>
  <si>
    <t>Bhaskar Verma</t>
  </si>
  <si>
    <t>RAJESHWAR GOMES - Term - 3</t>
  </si>
  <si>
    <t>R.A - 32529848202301 - W.SG</t>
  </si>
  <si>
    <t>17 Jul '2026</t>
  </si>
  <si>
    <t>WAQAR HUSSAIN</t>
  </si>
  <si>
    <t>ARJINDER - (Mandeep/Harman)</t>
  </si>
  <si>
    <t>GAGAN ANAND - 3 Yrs</t>
  </si>
  <si>
    <t>H.R - 31875129202401</t>
  </si>
  <si>
    <t>29 Jul '2027</t>
  </si>
  <si>
    <t>RASHIDA SHABBIR KANCHWALA</t>
  </si>
  <si>
    <t>Jasvinder</t>
  </si>
  <si>
    <t>HITESH AGGARWAL</t>
  </si>
  <si>
    <t>MANJEET SINGH</t>
  </si>
  <si>
    <t>Dalvender Ergo C</t>
  </si>
  <si>
    <t>40 Lakh</t>
  </si>
  <si>
    <t>BINODA NAND THAKUR</t>
  </si>
  <si>
    <t>Kumar Anand</t>
  </si>
  <si>
    <t>ASHWANI GOYAL</t>
  </si>
  <si>
    <t>NITIN PANDEY</t>
  </si>
  <si>
    <t>28 Aug '2026</t>
  </si>
  <si>
    <t>APARNA SHARMA - 3 Yrs</t>
  </si>
  <si>
    <t>R.A - 31906737202401  - W.SG</t>
  </si>
  <si>
    <t>30 Aug '2027</t>
  </si>
  <si>
    <t>SANCHIT GUPTA - 3 Yrs</t>
  </si>
  <si>
    <t>H.R - 31951772202401</t>
  </si>
  <si>
    <t>12 Sep '2027</t>
  </si>
  <si>
    <t>SANJEEV KUMAR GUPTA - 3 Yrs</t>
  </si>
  <si>
    <t>H.R - 31952976202401</t>
  </si>
  <si>
    <t>9811114286/ 9810195886</t>
  </si>
  <si>
    <t>KEERTIKA / NISHANT</t>
  </si>
  <si>
    <t>NISHANT JOSHI - (Parents)</t>
  </si>
  <si>
    <t>RAKSHIT GUPTA - 3 Yrs</t>
  </si>
  <si>
    <t>H.R - 31955432202401</t>
  </si>
  <si>
    <t>14 Sep '2027</t>
  </si>
  <si>
    <t>SHEETAL - P.A</t>
  </si>
  <si>
    <t>P.A - 34311447202400</t>
  </si>
  <si>
    <t>17 Lakh</t>
  </si>
  <si>
    <t xml:space="preserve">SHEETAL </t>
  </si>
  <si>
    <t>MOHAMMAD ASLAM BASHA</t>
  </si>
  <si>
    <t>JITENDER PRASAD JAIN</t>
  </si>
  <si>
    <t>PANKAJ MISHRA</t>
  </si>
  <si>
    <t>GOPENDRA NATH BHATT</t>
  </si>
  <si>
    <t>TRIPRA BHATT</t>
  </si>
  <si>
    <t>RICHA BHATT</t>
  </si>
  <si>
    <t>MANOJ KUMAR GUPTA</t>
  </si>
  <si>
    <t>R.A - 32741041202200 - (W.SG)</t>
  </si>
  <si>
    <t>HIMANSH PRASAD KALA</t>
  </si>
  <si>
    <t>RA - 2.0 - 32710834202402- (W.SG)</t>
  </si>
  <si>
    <t>3 Oct '2025</t>
  </si>
  <si>
    <t>DINESH KUMAR - 3 Yrs</t>
  </si>
  <si>
    <t>AMIT GOEL - Hemlata Goel</t>
  </si>
  <si>
    <t>NAGESH BHATT</t>
  </si>
  <si>
    <t>R.A - 32005750202403 - W.SG</t>
  </si>
  <si>
    <t>KANTI VERDHAN SHARMA - 2 Yrs</t>
  </si>
  <si>
    <t>HC Variant2022 - 33488961202401</t>
  </si>
  <si>
    <t>10 Oct '2026</t>
  </si>
  <si>
    <t>SATISH KUMAR MALIK</t>
  </si>
  <si>
    <t>VIJAY GOYAL - 3 Yrs</t>
  </si>
  <si>
    <t>R.A - 32765074202200 - W.SG</t>
  </si>
  <si>
    <t>22 Oct '2025</t>
  </si>
  <si>
    <t>R.A - 2.0 - 31419946202404 - Titanium+ SG+</t>
  </si>
  <si>
    <t>GURKIRAT SINGH</t>
  </si>
  <si>
    <t>SUMIT GOEL</t>
  </si>
  <si>
    <t xml:space="preserve">R.A-2.0 - 32760713202402 - Titanium+ SG+ </t>
  </si>
  <si>
    <t>5 Nov '2025</t>
  </si>
  <si>
    <t>MAHESH KUMAR TIWARI</t>
  </si>
  <si>
    <t>Rahul Tiwari</t>
  </si>
  <si>
    <t>MANPREET KAUR</t>
  </si>
  <si>
    <t>MOHD SHIRAZ SIDDIQI</t>
  </si>
  <si>
    <t>Debashish</t>
  </si>
  <si>
    <t>MANU BHUSHAN GOSWAMI</t>
  </si>
  <si>
    <t>ABHISHEK RASTOGI</t>
  </si>
  <si>
    <t>Pratik Rastogi</t>
  </si>
  <si>
    <t>KAPIL SAXENA - 3 Yrs</t>
  </si>
  <si>
    <t>P.A - 32079027202403</t>
  </si>
  <si>
    <t>24 Nov '2027</t>
  </si>
  <si>
    <t>10,5,2.5 lakh</t>
  </si>
  <si>
    <t>BHASKAR SAXENA - 3 Yrs</t>
  </si>
  <si>
    <t>P.A - 32079028202403</t>
  </si>
  <si>
    <t>RAJENDER KUMAR SAXENA - 2 Yrs</t>
  </si>
  <si>
    <t>P.A - 32079041202403</t>
  </si>
  <si>
    <t>24 Nov '2026</t>
  </si>
  <si>
    <t>15 &amp; 5 Lakh</t>
  </si>
  <si>
    <t>VIRENDER KUMAR KUNDRA</t>
  </si>
  <si>
    <t>R.A - 32060683202403 - W.SG</t>
  </si>
  <si>
    <t>26 Nov '2025</t>
  </si>
  <si>
    <t>MUKESHKUMAR D PANDYA</t>
  </si>
  <si>
    <t>H.R - 32100103202403</t>
  </si>
  <si>
    <t>6 Dec '2026</t>
  </si>
  <si>
    <t>RAJENDER KUMAR SAXENA - 3 Yrs</t>
  </si>
  <si>
    <t>R.A - 32079442202302 - (S.G)</t>
  </si>
  <si>
    <t>29 Dec '2026</t>
  </si>
  <si>
    <t>BHASKAR SAXENA</t>
  </si>
  <si>
    <t>KAPIL SAXENA</t>
  </si>
  <si>
    <t>POONAM GUPTA</t>
  </si>
  <si>
    <t>10 Dec '2025</t>
  </si>
  <si>
    <t>SUNIL AGGARWAL</t>
  </si>
  <si>
    <t>ANAND PRAKASH - 3 Yrs</t>
  </si>
  <si>
    <t>ReAssure - 31474827202303 - (With S.G)</t>
  </si>
  <si>
    <t>21 Dec '2026</t>
  </si>
  <si>
    <t>HIDAYAT TULLA</t>
  </si>
  <si>
    <t>VIPIN VINAYAK</t>
  </si>
  <si>
    <t xml:space="preserve">KSHITIZ SHARMA </t>
  </si>
  <si>
    <t>NIDHI CHHABRA - Parents</t>
  </si>
  <si>
    <t>SANCHIT GUPTA</t>
  </si>
  <si>
    <t>9811114286 / 9810195886</t>
  </si>
  <si>
    <t>SANJEEV KUMAR - Chilla Village</t>
  </si>
  <si>
    <t xml:space="preserve">                                             Total</t>
  </si>
  <si>
    <t xml:space="preserve">Reliance </t>
  </si>
  <si>
    <t>With GST</t>
  </si>
  <si>
    <t>Manpreet Kaur</t>
  </si>
  <si>
    <t>Jugal Kishor</t>
  </si>
  <si>
    <t>130 222 428 2400 31042</t>
  </si>
  <si>
    <t>Sumit Shukla</t>
  </si>
  <si>
    <t>Chetna Guglani</t>
  </si>
  <si>
    <t>130 222 428 6800 03125</t>
  </si>
  <si>
    <t>12 Apr '2025</t>
  </si>
  <si>
    <t>Parth Guglani</t>
  </si>
  <si>
    <t>130 222 428 6800 03126</t>
  </si>
  <si>
    <t>Pravesh Kumar</t>
  </si>
  <si>
    <t>130 222 428 2400 52977</t>
  </si>
  <si>
    <t>130 222 428 2400 53440</t>
  </si>
  <si>
    <t>Rajan Kashyap</t>
  </si>
  <si>
    <t>Bharat Chandrakant Dosh - 2 Yrs</t>
  </si>
  <si>
    <t>130 222 428 2400 52415</t>
  </si>
  <si>
    <t>1 Jun '2026</t>
  </si>
  <si>
    <t>Dilip Anand</t>
  </si>
  <si>
    <t>Lily Gomes</t>
  </si>
  <si>
    <t>Anuj Kumar</t>
  </si>
  <si>
    <t>Suraj Pandit</t>
  </si>
  <si>
    <t>130 222 428 2400 57100</t>
  </si>
  <si>
    <t>Shishupal Singh</t>
  </si>
  <si>
    <t>130 222 428 2400 57122</t>
  </si>
  <si>
    <t>11 Jun '2025</t>
  </si>
  <si>
    <t>Vinod Kumar - 3 yrs</t>
  </si>
  <si>
    <t>130 222 428 2400 60625</t>
  </si>
  <si>
    <t xml:space="preserve">Swimming Pool </t>
  </si>
  <si>
    <t>Gaurav Gaba</t>
  </si>
  <si>
    <t>130 222 428 2400 59098</t>
  </si>
  <si>
    <t>Amarpal Natturam</t>
  </si>
  <si>
    <t>130 222 428 2400 60246</t>
  </si>
  <si>
    <t>Kushalvir Dayanand</t>
  </si>
  <si>
    <t>130 222 428 2400 62858</t>
  </si>
  <si>
    <t>30 Jun '2025</t>
  </si>
  <si>
    <t>Mohsin Khan</t>
  </si>
  <si>
    <t>Mahi Pal Singh</t>
  </si>
  <si>
    <t>Shalini Rastogi</t>
  </si>
  <si>
    <t>Dolly Chopra - Vikas Chopra</t>
  </si>
  <si>
    <t>07 Aug '2025</t>
  </si>
  <si>
    <t>Vikas Chopra</t>
  </si>
  <si>
    <t>Vikas</t>
  </si>
  <si>
    <t>Jhony</t>
  </si>
  <si>
    <t xml:space="preserve">Vikas Chaudhary - Shashank </t>
  </si>
  <si>
    <t>Bhavya Chopra - Akhil</t>
  </si>
  <si>
    <t>130 222 428 2400 76241</t>
  </si>
  <si>
    <t>Akhil Chopra</t>
  </si>
  <si>
    <t>Anurag Pant</t>
  </si>
  <si>
    <t xml:space="preserve">130 222 428 2400 78083 </t>
  </si>
  <si>
    <t>Kiran</t>
  </si>
  <si>
    <t>Ravi/Mohan Lal - Manoj</t>
  </si>
  <si>
    <t>Mohini</t>
  </si>
  <si>
    <t>Manjeet</t>
  </si>
  <si>
    <t>07 Sep '2025</t>
  </si>
  <si>
    <t>Deepali Bhardwaj</t>
  </si>
  <si>
    <t>Amitesh Kumar Mishra</t>
  </si>
  <si>
    <t>Tina Bansal</t>
  </si>
  <si>
    <t>Karuna Vashisht</t>
  </si>
  <si>
    <t>Shubhra Karmakar</t>
  </si>
  <si>
    <t>Kamal Makhija</t>
  </si>
  <si>
    <t>Neeta Makhija</t>
  </si>
  <si>
    <t>Vedansh Makhija</t>
  </si>
  <si>
    <t>Rupinder Singh</t>
  </si>
  <si>
    <t>Anik Pal</t>
  </si>
  <si>
    <t>Jai Bhagwan Rai</t>
  </si>
  <si>
    <t>Pawan Bhardwaj</t>
  </si>
  <si>
    <t>Suresh Rastogi</t>
  </si>
  <si>
    <t>Subh Ram</t>
  </si>
  <si>
    <t>Narender Kumar Sharma - 3 Yrs</t>
  </si>
  <si>
    <t>Arogya Plus - 0000000023154637-01</t>
  </si>
  <si>
    <t>26 May '2027</t>
  </si>
  <si>
    <t>Renu Bala Jain</t>
  </si>
  <si>
    <t xml:space="preserve">Son - Amit Jain </t>
  </si>
  <si>
    <t>70115 74353</t>
  </si>
  <si>
    <t>Arogya Plus - 0000000018106600-04</t>
  </si>
  <si>
    <t>7 Jul '2025</t>
  </si>
  <si>
    <t>Neelam Goyal - Term 3</t>
  </si>
  <si>
    <t>Arogya Plus - 0000000024002493-01</t>
  </si>
  <si>
    <t>18 Aug '2027</t>
  </si>
  <si>
    <t>Kedar Singh Chauhan</t>
  </si>
  <si>
    <t>Arogya Plus - 0000000057763971-03</t>
  </si>
  <si>
    <t>Raj Kumar Seth - Madhu</t>
  </si>
  <si>
    <t>Arogya Plus - 0000000014574937-05</t>
  </si>
  <si>
    <t>Sali Joseph</t>
  </si>
  <si>
    <t>Arogya Plus - 0000000024607151-03</t>
  </si>
  <si>
    <t>Naresh Mittal - Term 3</t>
  </si>
  <si>
    <t>Arogya Plus - POOPDH00100147904</t>
  </si>
  <si>
    <t>Prem Bahadur Thapa</t>
  </si>
  <si>
    <t>Girish Kaptiyal</t>
  </si>
  <si>
    <t>Arogya Plus - POOPDH00100151871</t>
  </si>
  <si>
    <t>Sanjay S Jain</t>
  </si>
  <si>
    <t>Palash Banerjee</t>
  </si>
  <si>
    <t>Subhash Chand</t>
  </si>
  <si>
    <t>Arogya Plus - POOPDH00100157696</t>
  </si>
  <si>
    <t>Nishant Kansal-Ergo C</t>
  </si>
  <si>
    <t xml:space="preserve">                                                                              Total</t>
  </si>
  <si>
    <t>Care - 20465276</t>
  </si>
  <si>
    <t>AYUSH SANJIV SANGHAVI</t>
  </si>
  <si>
    <t>93229421 - Travel</t>
  </si>
  <si>
    <t>Fresh - 28 Nov '2024</t>
  </si>
  <si>
    <t>A VIJAY KUMAR</t>
  </si>
  <si>
    <t>JAYESH TELI - 3 Yrs</t>
  </si>
  <si>
    <t>ARJUN JAYESH TELI - 3 Yrs</t>
  </si>
  <si>
    <t>ABHAY JARIWALA</t>
  </si>
  <si>
    <t>306073 97</t>
  </si>
  <si>
    <t>12 Mar '2027</t>
  </si>
  <si>
    <t>27 Mar '2026</t>
  </si>
  <si>
    <t>HIMANI SHAH - Travel</t>
  </si>
  <si>
    <t>81024504 -  Travel</t>
  </si>
  <si>
    <t>31 Mar '2024</t>
  </si>
  <si>
    <t>Fresh - 16 Mar '2024</t>
  </si>
  <si>
    <t>SHAMBHAVI SHARMA - Travel</t>
  </si>
  <si>
    <t>81024397 - Travel</t>
  </si>
  <si>
    <t>VIKAS PANDEY</t>
  </si>
  <si>
    <t>MEHUL BHOGILAL MEHTA</t>
  </si>
  <si>
    <t>82452270 - Travel</t>
  </si>
  <si>
    <t>3 May '2024</t>
  </si>
  <si>
    <t>Fresh - 12 Apr '2024</t>
  </si>
  <si>
    <t>HARIT NARENDRA MEHTA</t>
  </si>
  <si>
    <t>82450707 - Travel</t>
  </si>
  <si>
    <t>ROOPA GHOSH</t>
  </si>
  <si>
    <t>7 Lakh</t>
  </si>
  <si>
    <t>ABHIPREET DEEPAK SHETH</t>
  </si>
  <si>
    <t>LAKSHDEEP JAISINGH</t>
  </si>
  <si>
    <t>21 Jul '2026</t>
  </si>
  <si>
    <t>SHARAD KAPOOR</t>
  </si>
  <si>
    <t>RAHUL VASA</t>
  </si>
  <si>
    <t>RASHMI ENTERPRISES - P.A</t>
  </si>
  <si>
    <t>1 Cr +</t>
  </si>
  <si>
    <t>NITI SINGH BHANDARI</t>
  </si>
  <si>
    <t>Sita Ram Razal</t>
  </si>
  <si>
    <t>RAJPAL SINGH KATHAIT</t>
  </si>
  <si>
    <t>28 Dec '2025</t>
  </si>
  <si>
    <t xml:space="preserve">                                                                     Total</t>
  </si>
  <si>
    <t>Future Generali</t>
  </si>
  <si>
    <t>Proposar Name</t>
  </si>
  <si>
    <t>Kapil Pratap Shishodiya</t>
  </si>
  <si>
    <t>FHA-12-25-7127142-01-000</t>
  </si>
  <si>
    <t>Kapil Pratap Shishodiya - Parth Pratap</t>
  </si>
  <si>
    <t>FHA-34-25-0002499-00-000</t>
  </si>
  <si>
    <t>Amit Vasudeva - Pushpa</t>
  </si>
  <si>
    <t>FVB-12-23-7116021-01-000 - Varisht Bima</t>
  </si>
  <si>
    <t>16 Feb '2025</t>
  </si>
  <si>
    <t>Parmod Sharma</t>
  </si>
  <si>
    <t>Mohit Mehta</t>
  </si>
  <si>
    <t>Kiran Bharat</t>
  </si>
  <si>
    <t>Garima Gupta - Term - 3</t>
  </si>
  <si>
    <t>PTO-12-22-7219103-00-000  - Vital</t>
  </si>
  <si>
    <t>22 Mar '2026</t>
  </si>
  <si>
    <t>Parmod Kumar Aggarwal</t>
  </si>
  <si>
    <t>FHR-12-21-7406247-00-000 - Topaz</t>
  </si>
  <si>
    <t>Renu Dhingara</t>
  </si>
  <si>
    <t>Ashutosh Yadav</t>
  </si>
  <si>
    <t>HSS-12-24-7111892-02-000</t>
  </si>
  <si>
    <t>5 Apl '2025</t>
  </si>
  <si>
    <t>Neeta Banerjee</t>
  </si>
  <si>
    <t>Abhinandan Kumar</t>
  </si>
  <si>
    <t>FHR-12-24-7480948-01-000</t>
  </si>
  <si>
    <t xml:space="preserve">T0728801 - Trvel - </t>
  </si>
  <si>
    <t>10 Aug '2024</t>
  </si>
  <si>
    <t>5 Lakh -USD</t>
  </si>
  <si>
    <t>Raj Rani Jain</t>
  </si>
  <si>
    <t>T0729136 - Travel</t>
  </si>
  <si>
    <t>15 Oct '2024</t>
  </si>
  <si>
    <t>Virender Jain - (July)</t>
  </si>
  <si>
    <t>Uma Rani</t>
  </si>
  <si>
    <t xml:space="preserve">                                                                                                      Total</t>
  </si>
  <si>
    <t>HDFC Life</t>
  </si>
  <si>
    <t>Policy No.</t>
  </si>
  <si>
    <t>Mode</t>
  </si>
  <si>
    <t>Gajendra Aggarwal</t>
  </si>
  <si>
    <t>Yearly</t>
  </si>
  <si>
    <t>2 Cr</t>
  </si>
  <si>
    <t>Madhvi Goyal</t>
  </si>
  <si>
    <t>18 Jan '2025</t>
  </si>
  <si>
    <t>Pankaj Jain</t>
  </si>
  <si>
    <t>75 L</t>
  </si>
  <si>
    <t>Amit Kumar Mehra</t>
  </si>
  <si>
    <t>23 Jan '2025</t>
  </si>
  <si>
    <t>Varun Karala</t>
  </si>
  <si>
    <t>Deepak Goyal</t>
  </si>
  <si>
    <t>7 Feb '2025</t>
  </si>
  <si>
    <t>Ashish Pokhriyal</t>
  </si>
  <si>
    <t>50 L</t>
  </si>
  <si>
    <t>Ashish Chhabra</t>
  </si>
  <si>
    <t>Piyush Agarwal</t>
  </si>
  <si>
    <t>Nishant Gupta</t>
  </si>
  <si>
    <t>1 cr</t>
  </si>
  <si>
    <t>Nitin Bhatnagar</t>
  </si>
  <si>
    <t>Sanchita Gupta</t>
  </si>
  <si>
    <t>Nidhi Goyal</t>
  </si>
  <si>
    <t>Itisha Goyal</t>
  </si>
  <si>
    <t>Sonia</t>
  </si>
  <si>
    <t>Ashvinder Seera</t>
  </si>
  <si>
    <t>Ashok Kumar Bathwal</t>
  </si>
  <si>
    <t>5 Cr</t>
  </si>
  <si>
    <t>Pradip Kumar Bathwal</t>
  </si>
  <si>
    <t>Ajit Kumar</t>
  </si>
  <si>
    <t>11 Oct '2024</t>
  </si>
  <si>
    <t>Poonam Rani</t>
  </si>
  <si>
    <t>Single</t>
  </si>
  <si>
    <t>Deepak Kumar</t>
  </si>
  <si>
    <t>1,90,00,000</t>
  </si>
  <si>
    <t>Rajesh Kumar</t>
  </si>
  <si>
    <t>Randhir Kumar Jha</t>
  </si>
  <si>
    <t>8,56,000</t>
  </si>
  <si>
    <t>Mahesh Sharma</t>
  </si>
  <si>
    <t>Amrita Singh</t>
  </si>
  <si>
    <t>Hlf Yly</t>
  </si>
  <si>
    <t>Tarun Kumar</t>
  </si>
  <si>
    <t>Ashwinkumar Narayan Tirpude</t>
  </si>
  <si>
    <t xml:space="preserve">Qtly </t>
  </si>
  <si>
    <t>8,01,603</t>
  </si>
  <si>
    <t xml:space="preserve">                                                            Total</t>
  </si>
  <si>
    <t>Registration No.</t>
  </si>
  <si>
    <t>Amit - Bhagwati Trading Co.</t>
  </si>
  <si>
    <t>UP 16 HT 4937</t>
  </si>
  <si>
    <t>27 Dec '2024</t>
  </si>
  <si>
    <t>Abhishek Sharma</t>
  </si>
  <si>
    <t>DL 07 CR 4503</t>
  </si>
  <si>
    <t>4 Jan '2025</t>
  </si>
  <si>
    <t>Nupur</t>
  </si>
  <si>
    <t>BR 01 FM 4204</t>
  </si>
  <si>
    <t>Manoj Prasad - Ergo Client</t>
  </si>
  <si>
    <t>Sudhir Kumar</t>
  </si>
  <si>
    <t xml:space="preserve">DL 9C AP 8379 </t>
  </si>
  <si>
    <t>Amit Jain</t>
  </si>
  <si>
    <t>DL 2C AM 4436</t>
  </si>
  <si>
    <t>Amit Gupta</t>
  </si>
  <si>
    <t>DL 11 CB 5948</t>
  </si>
  <si>
    <t>Anand Prakash</t>
  </si>
  <si>
    <t>DL 7C M4 458</t>
  </si>
  <si>
    <t>Sunita Vikram</t>
  </si>
  <si>
    <t>DL 6S AX 7730</t>
  </si>
  <si>
    <t>Arun Gupta</t>
  </si>
  <si>
    <t>Subhashish Ghoshal</t>
  </si>
  <si>
    <t>DL 14 CH 6890</t>
  </si>
  <si>
    <t>Karan Gupta</t>
  </si>
  <si>
    <t>UP 14 FJ 94 03</t>
  </si>
  <si>
    <t>Sudhir Gupra</t>
  </si>
  <si>
    <t>ShriRam General Insurance</t>
  </si>
  <si>
    <t xml:space="preserve">Atul Kumar Jain </t>
  </si>
  <si>
    <t>101046/11/23/000072</t>
  </si>
  <si>
    <t xml:space="preserve">8 Jan '2024 </t>
  </si>
  <si>
    <t>40 L</t>
  </si>
  <si>
    <t xml:space="preserve">Dr. Upasna Nair </t>
  </si>
  <si>
    <t>25 L</t>
  </si>
  <si>
    <t>Ketan Chawla</t>
  </si>
  <si>
    <t>101046/49/24/000301 - P.A</t>
  </si>
  <si>
    <t>22 Dec '2024</t>
  </si>
  <si>
    <t>Som Nath Chawla</t>
  </si>
  <si>
    <t>Som Jewellers</t>
  </si>
  <si>
    <t>101046/48/25/000145</t>
  </si>
  <si>
    <t>101046/49/24/000300 - P.A</t>
  </si>
  <si>
    <t>S.No.</t>
  </si>
  <si>
    <t>Company</t>
  </si>
  <si>
    <t>Clients</t>
  </si>
  <si>
    <t>Premium in Lakh</t>
  </si>
  <si>
    <t xml:space="preserve"> Star Health</t>
  </si>
  <si>
    <t xml:space="preserve"> Hdfc Ergo</t>
  </si>
  <si>
    <t xml:space="preserve"> Niva Bupa</t>
  </si>
  <si>
    <t xml:space="preserve"> Reliance</t>
  </si>
  <si>
    <t xml:space="preserve"> S.B.I</t>
  </si>
  <si>
    <t xml:space="preserve"> Care</t>
  </si>
  <si>
    <t xml:space="preserve"> Future</t>
  </si>
  <si>
    <t xml:space="preserve"> ShriRam</t>
  </si>
  <si>
    <t xml:space="preserve">Star </t>
  </si>
  <si>
    <t>KARAN SINGH</t>
  </si>
  <si>
    <t>P/161111/01/2022/020898</t>
  </si>
  <si>
    <t>29 Oct '2022</t>
  </si>
  <si>
    <t>No Response</t>
  </si>
  <si>
    <t>SOM NATH SACHDEVA</t>
  </si>
  <si>
    <t>.P/161111/01/2022/033362</t>
  </si>
  <si>
    <t>9 Mar '2023</t>
  </si>
  <si>
    <t>BHARAT CHAUHAN</t>
  </si>
  <si>
    <t>P/161111/01/2022/034185</t>
  </si>
  <si>
    <t>18 Mar '2023</t>
  </si>
  <si>
    <t xml:space="preserve">RAJ KUMAR </t>
  </si>
  <si>
    <t>P/161111/01/2022/035603</t>
  </si>
  <si>
    <t>30 Mar '2023</t>
  </si>
  <si>
    <t>SHASHANK KUMAR</t>
  </si>
  <si>
    <t>P/161111/01/2023/003282</t>
  </si>
  <si>
    <t>25 May '2023</t>
  </si>
  <si>
    <t>MANISH KUMAR</t>
  </si>
  <si>
    <t>P/161111/01/2023/005235</t>
  </si>
  <si>
    <t>9 Jun '2023</t>
  </si>
  <si>
    <t xml:space="preserve">Kavita Gupta - Service issue </t>
  </si>
  <si>
    <t>ASHOK MALHOTRA</t>
  </si>
  <si>
    <t>P/161111/01/2023/006188</t>
  </si>
  <si>
    <t>15 Jun '2023</t>
  </si>
  <si>
    <t>9212509296 - Port - Other Code Care</t>
  </si>
  <si>
    <t>SUNIL KUMAR</t>
  </si>
  <si>
    <t>P/161111/02/2023/000129</t>
  </si>
  <si>
    <t>17 May '2023</t>
  </si>
  <si>
    <t>11 Lakh</t>
  </si>
  <si>
    <t>VINAY KUMAR TIWARI - (P.A)</t>
  </si>
  <si>
    <t>P/161111/02/2023/000203</t>
  </si>
  <si>
    <t>DHARMENDRA KUMAR</t>
  </si>
  <si>
    <t>P/161111/01/2023/011091</t>
  </si>
  <si>
    <t>18 Aug '2023</t>
  </si>
  <si>
    <t>RAMPAL</t>
  </si>
  <si>
    <t>P/161111/01/2023/012331</t>
  </si>
  <si>
    <t>22 Aug '2023</t>
  </si>
  <si>
    <t>Manoj Upadhaya (HDFC Life)</t>
  </si>
  <si>
    <t>NITIN GOYAL</t>
  </si>
  <si>
    <t>P/161111/01/2023/011927</t>
  </si>
  <si>
    <t>19 Aug '2023</t>
  </si>
  <si>
    <t>NAMRATA KUMARI</t>
  </si>
  <si>
    <t>P/161111/01/2023/012965</t>
  </si>
  <si>
    <t>4 Sep '2023</t>
  </si>
  <si>
    <t>Mohit Kumar - shift out of india</t>
  </si>
  <si>
    <t>MANU BHARDWAJ</t>
  </si>
  <si>
    <t>P/161111/01/2023/013984</t>
  </si>
  <si>
    <t>11 Sep '2023</t>
  </si>
  <si>
    <t>Other Code Transfer</t>
  </si>
  <si>
    <t>P/161111/01/2023/000742</t>
  </si>
  <si>
    <t xml:space="preserve">MUKESH  </t>
  </si>
  <si>
    <t>P/161111/01/2023/016035</t>
  </si>
  <si>
    <t>28 Sep '2023</t>
  </si>
  <si>
    <t xml:space="preserve">Mukul Kumar - Service issue </t>
  </si>
  <si>
    <t>SURINDER GUPTA</t>
  </si>
  <si>
    <t>P/161111/01/2023/013430</t>
  </si>
  <si>
    <t>5 Sep '2023</t>
  </si>
  <si>
    <t>9971505703 - Ghanshyam</t>
  </si>
  <si>
    <t>BRIJESH KUMAR BHARDWAJ</t>
  </si>
  <si>
    <t>P/161111/01/2023/016143</t>
  </si>
  <si>
    <t>11 Oct '2023</t>
  </si>
  <si>
    <t>Port Other Code</t>
  </si>
  <si>
    <t>ABHISHEK JAIN (Asha)</t>
  </si>
  <si>
    <t>P/161111/01/2023/015303</t>
  </si>
  <si>
    <t>20 Oct '2023</t>
  </si>
  <si>
    <t>Cancel</t>
  </si>
  <si>
    <t>TARUN KUMAR</t>
  </si>
  <si>
    <t>P/161111/01/2023/018368</t>
  </si>
  <si>
    <t>23 Nov '2023</t>
  </si>
  <si>
    <t>9690654842</t>
  </si>
  <si>
    <t>Port Our Code Ergo</t>
  </si>
  <si>
    <t>PAWAN DUA</t>
  </si>
  <si>
    <t>P/161111/01/2023/017896</t>
  </si>
  <si>
    <t>25 Oct '2023</t>
  </si>
  <si>
    <t>RAKESH KUMAR SHARMA</t>
  </si>
  <si>
    <t>P/161111/01/2023/018378</t>
  </si>
  <si>
    <t>30 Oct '2023</t>
  </si>
  <si>
    <t>Dr. Ravinder K. Arora</t>
  </si>
  <si>
    <t>CHETAN KUMAR</t>
  </si>
  <si>
    <t>P/161111/01/2023/023222</t>
  </si>
  <si>
    <t>30 Dec '2023</t>
  </si>
  <si>
    <t>FHA-12-22-7111414-00-000</t>
  </si>
  <si>
    <t>26 Jan '2024</t>
  </si>
  <si>
    <t>Mohd Iliyas</t>
  </si>
  <si>
    <t>FHR-12-22-7436128-01-000 - Topaz</t>
  </si>
  <si>
    <t>15 Dec '2023</t>
  </si>
  <si>
    <t>Claim issue</t>
  </si>
  <si>
    <t>RITIK SHARMA</t>
  </si>
  <si>
    <t>P/161111/01/2024/004869</t>
  </si>
  <si>
    <t>29 May '2024</t>
  </si>
  <si>
    <t>Amit Chauhan - Ergo Client, PORT Other</t>
  </si>
  <si>
    <t>POOJA</t>
  </si>
  <si>
    <t>P/161111/01/2024/004829</t>
  </si>
  <si>
    <t>RAJAT SHARMA</t>
  </si>
  <si>
    <t>P/161111/01/2024/004850</t>
  </si>
  <si>
    <t>SHRICHANDRA SINGH</t>
  </si>
  <si>
    <t>P/161111/01/2024/004407</t>
  </si>
  <si>
    <t>23 May '2024</t>
  </si>
  <si>
    <t>Amrik, No Response</t>
  </si>
  <si>
    <t>ANJANA KANOJIA</t>
  </si>
  <si>
    <t>P/161111/01/2024/007315</t>
  </si>
  <si>
    <t>28 Jun '2024</t>
  </si>
  <si>
    <t>Port Other Company</t>
  </si>
  <si>
    <t>MOHAMMAD NOOR ALAM</t>
  </si>
  <si>
    <t>P/161111/01/2024/006331</t>
  </si>
  <si>
    <t>12 Jun '2024</t>
  </si>
  <si>
    <t>Amrik</t>
  </si>
  <si>
    <t>SANDEEP</t>
  </si>
  <si>
    <t>P/161111/01/2024/008335</t>
  </si>
  <si>
    <t>3 July '2024</t>
  </si>
  <si>
    <t>P/161111/01/2024/012130</t>
  </si>
  <si>
    <t>VIVEK ROY</t>
  </si>
  <si>
    <t>112404857431 03</t>
  </si>
  <si>
    <t>31 Oct '2024</t>
  </si>
  <si>
    <t>No Cash</t>
  </si>
  <si>
    <t>ASHISH KARMAKAR</t>
  </si>
  <si>
    <t>112405175081 07</t>
  </si>
  <si>
    <t>10 Nov '2024</t>
  </si>
  <si>
    <t>9910078856 Port Our Code Relience</t>
  </si>
  <si>
    <t>ARUN KUMAR GUPTA - P.A</t>
  </si>
  <si>
    <t>162405602782 00</t>
  </si>
  <si>
    <t>5 Dec '2024</t>
  </si>
  <si>
    <t>BRAHAM PRAKASH</t>
  </si>
  <si>
    <t>112405045775 02</t>
  </si>
  <si>
    <t>5 Nov '2024</t>
  </si>
  <si>
    <t>Deepak Kr. Mishra</t>
  </si>
  <si>
    <t>112404998419 10</t>
  </si>
  <si>
    <t>11 Nov '2024</t>
  </si>
  <si>
    <t>NAND KISHORE SHARMA</t>
  </si>
  <si>
    <t>112406719635 09</t>
  </si>
  <si>
    <t>3 Feb '2025</t>
  </si>
  <si>
    <t>MOHIT SHUKLA</t>
  </si>
  <si>
    <t>112406882661 01</t>
  </si>
  <si>
    <t>9 Feb '2025</t>
  </si>
  <si>
    <t>NARESH BHATIA</t>
  </si>
  <si>
    <t>112407182858 04</t>
  </si>
  <si>
    <t>25 Feb '2025</t>
  </si>
  <si>
    <t>Port Other Code - Niva 011-66307490-D.K Gupta,Code Endo Done</t>
  </si>
  <si>
    <t>Ergo</t>
  </si>
  <si>
    <t>Bhanu Pratap Singh</t>
  </si>
  <si>
    <t>2805 2035 2079 4102 000</t>
  </si>
  <si>
    <t>7 Dec '2022</t>
  </si>
  <si>
    <t>Port Other Code - Aqua</t>
  </si>
  <si>
    <t>Mamta Rani</t>
  </si>
  <si>
    <t>2805 2039 0877 2400 000</t>
  </si>
  <si>
    <t>11 Dec '2022</t>
  </si>
  <si>
    <t>9971813999</t>
  </si>
  <si>
    <t>cancel</t>
  </si>
  <si>
    <t>Vicky Manchanda</t>
  </si>
  <si>
    <t>2806 2036 0377 0100 000</t>
  </si>
  <si>
    <t>Geetanjali</t>
  </si>
  <si>
    <t>2805 2035 1934 6500 000</t>
  </si>
  <si>
    <t>14 Dec '2022</t>
  </si>
  <si>
    <t>Pankaj Kumar - GZB - Term 2</t>
  </si>
  <si>
    <t>2805 2040 1185 8600 000</t>
  </si>
  <si>
    <t>9 Feb '2023</t>
  </si>
  <si>
    <t>9971011822 - cancel</t>
  </si>
  <si>
    <t>Poonam Tandon</t>
  </si>
  <si>
    <t>2805 2035 3424 8202 000</t>
  </si>
  <si>
    <t>15 Mar '2023</t>
  </si>
  <si>
    <t>9213141583</t>
  </si>
  <si>
    <t>Sanjay Kumar (Ergo)</t>
  </si>
  <si>
    <t>Pankaj Sharma</t>
  </si>
  <si>
    <t>2820 2036 9244 6502 000</t>
  </si>
  <si>
    <t>30 Apl '2023</t>
  </si>
  <si>
    <t>Death</t>
  </si>
  <si>
    <t>Manoj Verma</t>
  </si>
  <si>
    <t>2805 2035 8580 3300 000</t>
  </si>
  <si>
    <t>14 Apl '2023</t>
  </si>
  <si>
    <t>9971428427</t>
  </si>
  <si>
    <t>Rajesh Kain - Port Other Code - Care</t>
  </si>
  <si>
    <t>Amit Kumar Sharma</t>
  </si>
  <si>
    <t>2805 2035 7440 7200 000</t>
  </si>
  <si>
    <t>Anu Ohri - Port Other Code - ICICI Lombard</t>
  </si>
  <si>
    <t xml:space="preserve">Sunil - Sadhna Gupta </t>
  </si>
  <si>
    <t>2806 2035 9457 2702 000</t>
  </si>
  <si>
    <t>29 Mar '2023</t>
  </si>
  <si>
    <t xml:space="preserve">Chandan Gupta </t>
  </si>
  <si>
    <t>2805 2035 9736 1700 000</t>
  </si>
  <si>
    <t>11 May '2023</t>
  </si>
  <si>
    <t>2805 2036 0023 4602 002 - W.R</t>
  </si>
  <si>
    <t>10 May '2023</t>
  </si>
  <si>
    <t>Amit Dhingra</t>
  </si>
  <si>
    <t>2805 2035 1475 8302 000</t>
  </si>
  <si>
    <t>28 Mar '2023</t>
  </si>
  <si>
    <t>will pay</t>
  </si>
  <si>
    <t>Virendra Singh Patel</t>
  </si>
  <si>
    <t>2806 2036 2105 9802 000</t>
  </si>
  <si>
    <t>29 Apl '2023</t>
  </si>
  <si>
    <t>9810751443</t>
  </si>
  <si>
    <t>Sanjay Sirohi</t>
  </si>
  <si>
    <t>Brijesh Kumar</t>
  </si>
  <si>
    <t>2806 2036 1887 4902 000</t>
  </si>
  <si>
    <t>9810646319</t>
  </si>
  <si>
    <t>Harmahendar</t>
  </si>
  <si>
    <t>2820 2037 0138 4902 000</t>
  </si>
  <si>
    <t>29 May '2023</t>
  </si>
  <si>
    <t>2805 2035 8404 4402 000</t>
  </si>
  <si>
    <t>30 May '2023</t>
  </si>
  <si>
    <t>Vikrant Choudhary</t>
  </si>
  <si>
    <t>2805 2046 8661 3900 000</t>
  </si>
  <si>
    <t>Anil Kumar</t>
  </si>
  <si>
    <t>2806 2036 0426 6002 000</t>
  </si>
  <si>
    <t>21 Jun '2023</t>
  </si>
  <si>
    <t>9990639475</t>
  </si>
  <si>
    <t>Faizal (Kotak Bank) - Port Bank Policy</t>
  </si>
  <si>
    <t xml:space="preserve">Prateek Pankaj </t>
  </si>
  <si>
    <t>2805 2036 4767 0401 000 - W.R</t>
  </si>
  <si>
    <t>Shyam Lal</t>
  </si>
  <si>
    <t>2805 2041 6986 9601 000</t>
  </si>
  <si>
    <t>8 Jun '2023</t>
  </si>
  <si>
    <t>9210844659</t>
  </si>
  <si>
    <t>Amandeep Singh</t>
  </si>
  <si>
    <t>2805 2041 9529 1401 000 - W.R/URB</t>
  </si>
  <si>
    <t xml:space="preserve">14 July '2023 </t>
  </si>
  <si>
    <t>Suresh Kumar</t>
  </si>
  <si>
    <t>2805 2035 7191 3400 000</t>
  </si>
  <si>
    <t>Rahul Kumar Yadav</t>
  </si>
  <si>
    <t>2856 2048 5218 8800 000</t>
  </si>
  <si>
    <t>Ketan Chawla - 2 Yrs</t>
  </si>
  <si>
    <t>2805 2036 5019 1701 001</t>
  </si>
  <si>
    <t>3 Sep '2023</t>
  </si>
  <si>
    <t>No Response - Somnath - Son</t>
  </si>
  <si>
    <t>Annu Singh</t>
  </si>
  <si>
    <t>2805 2042 9984 4100 000</t>
  </si>
  <si>
    <t>13 Sep '2023</t>
  </si>
  <si>
    <t>Adesh Kumar</t>
  </si>
  <si>
    <t>2805 2037 2209 7802 000</t>
  </si>
  <si>
    <t>7 Oct '2023</t>
  </si>
  <si>
    <t>Ajay Sharma</t>
  </si>
  <si>
    <t>2805 2037 2108 5402 000</t>
  </si>
  <si>
    <t>Yogesh Kumar Gupta</t>
  </si>
  <si>
    <t>2805 2038 7681 6901 000</t>
  </si>
  <si>
    <t>19 Oct '2023</t>
  </si>
  <si>
    <t>Chandra Shekhar</t>
  </si>
  <si>
    <t>2805 2039 4058 0302 000 - URB</t>
  </si>
  <si>
    <t>17 Nov '2023</t>
  </si>
  <si>
    <t>Port Other Code Online</t>
  </si>
  <si>
    <t>Atul Aggarwal</t>
  </si>
  <si>
    <t>2805 2035 2054 4403 000</t>
  </si>
  <si>
    <t>16 Dec '2023</t>
  </si>
  <si>
    <t>9810547027</t>
  </si>
  <si>
    <t>Manish Walia</t>
  </si>
  <si>
    <t>2805 2038 1870 8702 000 - W.R</t>
  </si>
  <si>
    <t>22 Nov '2023</t>
  </si>
  <si>
    <t>Rajesh Jain - Term - 2</t>
  </si>
  <si>
    <t>2805 2038 7755 6401 000</t>
  </si>
  <si>
    <t>25 Nov '2023</t>
  </si>
  <si>
    <t>Kavita - Yashoda - Term - 2</t>
  </si>
  <si>
    <t>2805 2036 4881 8301 000</t>
  </si>
  <si>
    <t>27 Nov '2023</t>
  </si>
  <si>
    <t>2837 2039 4039 2502 000</t>
  </si>
  <si>
    <t>19 Dec '2023</t>
  </si>
  <si>
    <t>No intrest</t>
  </si>
  <si>
    <t>Manoj Prasad</t>
  </si>
  <si>
    <t>2806 2036 0029 8200 000</t>
  </si>
  <si>
    <t>19 Jan '2024</t>
  </si>
  <si>
    <t>Prem Chand</t>
  </si>
  <si>
    <t>2805 2035 3788 3300 000</t>
  </si>
  <si>
    <t>26 Dec '2023</t>
  </si>
  <si>
    <t>Arjun Sharma</t>
  </si>
  <si>
    <t>2805 2044 4786 4201 000</t>
  </si>
  <si>
    <t>28 Dec '2023</t>
  </si>
  <si>
    <t xml:space="preserve">No response                </t>
  </si>
  <si>
    <t>Shubham Panchal</t>
  </si>
  <si>
    <r>
      <rPr>
        <sz val="10"/>
        <color theme="1"/>
        <rFont val="Bookman Old Style"/>
        <family val="1"/>
      </rPr>
      <t xml:space="preserve">2805 2044 7572 5000 000 - </t>
    </r>
    <r>
      <rPr>
        <sz val="8"/>
        <color theme="1"/>
        <rFont val="Bookman Old Style"/>
        <family val="1"/>
      </rPr>
      <t>UR</t>
    </r>
  </si>
  <si>
    <t>13 Jan '2024</t>
  </si>
  <si>
    <t>Charanjeet Kumar Narang</t>
  </si>
  <si>
    <t>2805 2035 0145 9403 001</t>
  </si>
  <si>
    <t>25 Jan '2024</t>
  </si>
  <si>
    <t>Jitender Kumar</t>
  </si>
  <si>
    <t>2814 2052 5789 8700 000</t>
  </si>
  <si>
    <t>20 Feb '2024</t>
  </si>
  <si>
    <t>No Cash - CGHS</t>
  </si>
  <si>
    <t>Sunita (Navada)</t>
  </si>
  <si>
    <t>2805 2035 2160 6903 000</t>
  </si>
  <si>
    <t>24 Feb '2024</t>
  </si>
  <si>
    <t>Sanjeev Bansal</t>
  </si>
  <si>
    <t>2805 2035 4468 8203 000</t>
  </si>
  <si>
    <t>25 Mar '2024</t>
  </si>
  <si>
    <t>Vishal Agarwal - Port Other Code - Star</t>
  </si>
  <si>
    <t>Sandeep Sharma - 2 Yrs</t>
  </si>
  <si>
    <t>2805 2036 4563 7201 000</t>
  </si>
  <si>
    <t>5 Mar '2024</t>
  </si>
  <si>
    <t>K.V Sharma, Cancel, 8780396400</t>
  </si>
  <si>
    <t>Zain Mumtaz</t>
  </si>
  <si>
    <t>2856 2053 2990 1100 000 - UR</t>
  </si>
  <si>
    <t>26 Mar '2024</t>
  </si>
  <si>
    <t>9999960786</t>
  </si>
  <si>
    <t>Port Other - Acko</t>
  </si>
  <si>
    <t>Sanjay - Raghupura</t>
  </si>
  <si>
    <t>2820 2036 9469 7303 000</t>
  </si>
  <si>
    <t>9212251229</t>
  </si>
  <si>
    <t>Sanjay Kumar - Raghupura</t>
  </si>
  <si>
    <t>2805 2035 2097 6503 000</t>
  </si>
  <si>
    <t>Kirpal Singh</t>
  </si>
  <si>
    <t>2805 2035 8563 2003 000 - W.R/URB</t>
  </si>
  <si>
    <t>6 Apl '2024</t>
  </si>
  <si>
    <t>9891904587</t>
  </si>
  <si>
    <t>Savita Chaudhhary</t>
  </si>
  <si>
    <t>2805 2045 8310 1501 000</t>
  </si>
  <si>
    <t>8 Apr '2024</t>
  </si>
  <si>
    <t>Pooja Pandey</t>
  </si>
  <si>
    <t>2805 2035 1895 6003 000 - WR / URB</t>
  </si>
  <si>
    <t>10 Apr '2024</t>
  </si>
  <si>
    <t>9871862353</t>
  </si>
  <si>
    <t>Fresh - Star Our Code</t>
  </si>
  <si>
    <t>Anubhavv Bhaan</t>
  </si>
  <si>
    <t>2805 2035 1866 5402 001 - UR</t>
  </si>
  <si>
    <t>24 May '2024</t>
  </si>
  <si>
    <t>9971396396</t>
  </si>
  <si>
    <t>Not Intresetd</t>
  </si>
  <si>
    <t>Jyoti Gupta</t>
  </si>
  <si>
    <t>2806 2035 6688 9503 000</t>
  </si>
  <si>
    <t>7 Jun '2024</t>
  </si>
  <si>
    <t>9873652422</t>
  </si>
  <si>
    <t>Port Our code - star</t>
  </si>
  <si>
    <t>Gaurav Nehra</t>
  </si>
  <si>
    <t>27 May '2024</t>
  </si>
  <si>
    <t>Khem Chand Sharma</t>
  </si>
  <si>
    <t>2806 2036 2000 2103 000</t>
  </si>
  <si>
    <t>21 Jun '2024</t>
  </si>
  <si>
    <t>9810749894</t>
  </si>
  <si>
    <t>T Gopinadhan piilai</t>
  </si>
  <si>
    <t>Ajit Bhatt</t>
  </si>
  <si>
    <t>2856 2055 4570 6200 000</t>
  </si>
  <si>
    <t>11 July '2024</t>
  </si>
  <si>
    <t>Salimuddin</t>
  </si>
  <si>
    <t>2805 2036 1126 9303 000 - URB</t>
  </si>
  <si>
    <t xml:space="preserve">27 July '2024 </t>
  </si>
  <si>
    <t>Ashish Kumar Chhabra - Term 2</t>
  </si>
  <si>
    <t>2805 2036 4744 4301 000</t>
  </si>
  <si>
    <t>28 July '2024</t>
  </si>
  <si>
    <t>30 July '2024</t>
  </si>
  <si>
    <t>2805 2035 9414 9300 000 - WR/URB</t>
  </si>
  <si>
    <t>19 Aug '2024</t>
  </si>
  <si>
    <t>Port Our Code - Relience</t>
  </si>
  <si>
    <t>2805 2042 5799 4401 000 - WR/URB</t>
  </si>
  <si>
    <t>20 Aug '2024</t>
  </si>
  <si>
    <t>Sandeep Sharma</t>
  </si>
  <si>
    <t>2820 2036 9428 1303 000</t>
  </si>
  <si>
    <t>4 Aug '2024</t>
  </si>
  <si>
    <t>9711007769</t>
  </si>
  <si>
    <t>Not Interested</t>
  </si>
  <si>
    <t>Nirmala</t>
  </si>
  <si>
    <t>2806 2035 6810 8403 000</t>
  </si>
  <si>
    <t>29 Aug '2024</t>
  </si>
  <si>
    <t xml:space="preserve">Rishabh Jain  </t>
  </si>
  <si>
    <t>2805 2042 7120 8202 000 - WR</t>
  </si>
  <si>
    <t>7 Sep '2024</t>
  </si>
  <si>
    <t>Port Our Code Star</t>
  </si>
  <si>
    <t>Sumit Singh</t>
  </si>
  <si>
    <t>26 Sep '2024</t>
  </si>
  <si>
    <t>Rajes Sawhney port Our Code Niva</t>
  </si>
  <si>
    <t>Paras Puri</t>
  </si>
  <si>
    <t>2856 2058 1740 9200 000 - URB</t>
  </si>
  <si>
    <t>28 Oct '2024</t>
  </si>
  <si>
    <t>Port - Star - Other Code</t>
  </si>
  <si>
    <t>Rajeev Lochan Pathak</t>
  </si>
  <si>
    <t>2806 2038 1407 8700 000</t>
  </si>
  <si>
    <t>2 Nov '2024</t>
  </si>
  <si>
    <t>Saurabh Dua - 2 Yrs</t>
  </si>
  <si>
    <t>2806 2036 5321 7500 000</t>
  </si>
  <si>
    <t>20 Sep '2024</t>
  </si>
  <si>
    <t>Vikas Sahni</t>
  </si>
  <si>
    <t>2806 2035 6652 7304 000</t>
  </si>
  <si>
    <t>20 Nov '2024</t>
  </si>
  <si>
    <t>Madhu Jain</t>
  </si>
  <si>
    <t>2805 2038 1409 4903 000 - W.R/H.Cash</t>
  </si>
  <si>
    <t>22 Nov '2024</t>
  </si>
  <si>
    <t>2805 2035 2267 2104 000 - UR</t>
  </si>
  <si>
    <t>24 Dec '2024</t>
  </si>
  <si>
    <t>Abhishek - Palwal</t>
  </si>
  <si>
    <t>2805 2051 2088 2801 000 - WR/UR</t>
  </si>
  <si>
    <t>Mohd Aamir</t>
  </si>
  <si>
    <t>2805 2035 4159 5804 000 - UR</t>
  </si>
  <si>
    <t>18 Dec '2024</t>
  </si>
  <si>
    <t>Ajit Singh Verma</t>
  </si>
  <si>
    <t>2803 2038 7044 0704 000</t>
  </si>
  <si>
    <t>Port Our code Niva</t>
  </si>
  <si>
    <t>Abhay Teotia</t>
  </si>
  <si>
    <t>2805 2035 4077 9003 000</t>
  </si>
  <si>
    <t>8745054646</t>
  </si>
  <si>
    <t>Niva Port Other</t>
  </si>
  <si>
    <t>Nikki Ra</t>
  </si>
  <si>
    <t>2805 2039 7664 1903 000 - UR</t>
  </si>
  <si>
    <t>Rajesh Sawhney, No Response</t>
  </si>
  <si>
    <t>Monu Sharma - Harsh Vihar</t>
  </si>
  <si>
    <t>2805 2035 2248 6804 000  - UR</t>
  </si>
  <si>
    <t>2820 2036 8867 1604 000</t>
  </si>
  <si>
    <t>Port Other Code - Star</t>
  </si>
  <si>
    <t>Udita Sharma - Sangeeta</t>
  </si>
  <si>
    <t>2856 2052 2336 8201 000 - UR</t>
  </si>
  <si>
    <t>Manas Ali</t>
  </si>
  <si>
    <t>Jaideep Kohli - 2 Yrs</t>
  </si>
  <si>
    <t>2805 2035 1933 8600 000 - WR/UR</t>
  </si>
  <si>
    <t>5 Feb '2025</t>
  </si>
  <si>
    <t>Abhishek Kumar - Bihar</t>
  </si>
  <si>
    <t>Niva Bupa</t>
  </si>
  <si>
    <t>PANKAJ CHHABRA</t>
  </si>
  <si>
    <t xml:space="preserve">R.A - 32036011202100 </t>
  </si>
  <si>
    <t>8 Nov '2022</t>
  </si>
  <si>
    <t>Code Transfer - Anupam Gupta Ref,</t>
  </si>
  <si>
    <t>ANJU BANSAL</t>
  </si>
  <si>
    <t>H.R - 32087643202100</t>
  </si>
  <si>
    <t>29 Nov '2022</t>
  </si>
  <si>
    <t xml:space="preserve">R.A - 32073252202100 </t>
  </si>
  <si>
    <t>1 Dec '2022</t>
  </si>
  <si>
    <t>ABHISHEK AGRAWAL</t>
  </si>
  <si>
    <t>H.R - 32260134202200</t>
  </si>
  <si>
    <t>20 Feb '2022</t>
  </si>
  <si>
    <t xml:space="preserve">R.A - </t>
  </si>
  <si>
    <t>19 Feb '2022</t>
  </si>
  <si>
    <t>CHALLA PRAMOD REDDY</t>
  </si>
  <si>
    <t>H.R - 32273917202200</t>
  </si>
  <si>
    <t>24 Feb '2023</t>
  </si>
  <si>
    <t>R.A - 32271832202200 - (With S.G)</t>
  </si>
  <si>
    <t>KAWAL JEET KAUR</t>
  </si>
  <si>
    <t>R.A - 31604824202100</t>
  </si>
  <si>
    <t>21 Mar '2023</t>
  </si>
  <si>
    <t>R.A - 31608738202201</t>
  </si>
  <si>
    <t>19 Apl '2023</t>
  </si>
  <si>
    <t>PRAMOD JUNEJA</t>
  </si>
  <si>
    <t>R.A - 32326839202200 - (With S.G)</t>
  </si>
  <si>
    <t>25 Mar '2023</t>
  </si>
  <si>
    <t>VANEET SAIGAL</t>
  </si>
  <si>
    <t>R.A - 32386110202200</t>
  </si>
  <si>
    <t>12 Apl '2023</t>
  </si>
  <si>
    <t>ACHAL THAPLIYAL</t>
  </si>
  <si>
    <t>R.A - 31408378202202  - (With S.G)</t>
  </si>
  <si>
    <t>9 Nov '2023</t>
  </si>
  <si>
    <t>Port - Care - Other Code</t>
  </si>
  <si>
    <t>BHAVESH DADIYA</t>
  </si>
  <si>
    <t>R.A - 32883966202200 - (With S.G)</t>
  </si>
  <si>
    <t>9 Dec '2023</t>
  </si>
  <si>
    <t>HARJEET SINGH</t>
  </si>
  <si>
    <t>H.R - 32003726202100</t>
  </si>
  <si>
    <t>R.A - 32002904202100</t>
  </si>
  <si>
    <t>8 Oct '2023</t>
  </si>
  <si>
    <t>SATINDER SINGH</t>
  </si>
  <si>
    <t>R.A - 31493610202302  - (With S.G)</t>
  </si>
  <si>
    <t>3 Jan '2024</t>
  </si>
  <si>
    <t>Port other code ergo</t>
  </si>
  <si>
    <t>NANDANI BISWAS</t>
  </si>
  <si>
    <t>22 Jan '2024</t>
  </si>
  <si>
    <t>ASHISH AGGARWAL</t>
  </si>
  <si>
    <t>H.R - 31538699202100</t>
  </si>
  <si>
    <t>29 Jan '2024</t>
  </si>
  <si>
    <t>VIKAS CHAWLA</t>
  </si>
  <si>
    <t>H.R - 31633564202302</t>
  </si>
  <si>
    <t>No Required</t>
  </si>
  <si>
    <t>CHANDER PRAKASH</t>
  </si>
  <si>
    <t>R.A - 31633116202302</t>
  </si>
  <si>
    <t>RAVENDRA PAL SINH</t>
  </si>
  <si>
    <t>R.A - 32493784202301  - (With S.G)</t>
  </si>
  <si>
    <t>23 Jun '2024</t>
  </si>
  <si>
    <t>12.5 Lakh</t>
  </si>
  <si>
    <t>Port Other Code Care</t>
  </si>
  <si>
    <t xml:space="preserve">R.A-2.0-DM Gold - 33344667202300 - W.SG </t>
  </si>
  <si>
    <t>1 Aug '2024</t>
  </si>
  <si>
    <t>0 849</t>
  </si>
  <si>
    <t>Bhaskar Vaerma - Port Other Code</t>
  </si>
  <si>
    <t>RANJANA GUPTA</t>
  </si>
  <si>
    <t>ReAssure 2.0 - 33438729202300</t>
  </si>
  <si>
    <t>18 Sep '2024</t>
  </si>
  <si>
    <t>Ranjana - Code Transfer</t>
  </si>
  <si>
    <t>NIKHIL VERMA</t>
  </si>
  <si>
    <t>112404479753 07</t>
  </si>
  <si>
    <t>Port Niva - Other</t>
  </si>
  <si>
    <t>P.A - 33432151202300</t>
  </si>
  <si>
    <t>15 Sep '2024</t>
  </si>
  <si>
    <t>Bhaskar Verma - No Cash</t>
  </si>
  <si>
    <t>R.A 2.0 - 33435215202300 - (S.G.+) - Gold</t>
  </si>
  <si>
    <t>22 Sep '2024</t>
  </si>
  <si>
    <t>VIKASH GUPTA</t>
  </si>
  <si>
    <t>R.A 2.0 - 33370098202300 - Titanium+S.G Plus</t>
  </si>
  <si>
    <t>23 Sep '2024</t>
  </si>
  <si>
    <t>P.A - 33645703202300</t>
  </si>
  <si>
    <t>25 Dec '2024</t>
  </si>
  <si>
    <t xml:space="preserve">P.A - </t>
  </si>
  <si>
    <t>30 Jan '2025</t>
  </si>
  <si>
    <t>Relience</t>
  </si>
  <si>
    <t xml:space="preserve">Care </t>
  </si>
  <si>
    <t>Gourav Vasishta</t>
  </si>
  <si>
    <t>11 Nov '2022</t>
  </si>
  <si>
    <t>Sanajy Gautam - Star (Port Other Code)</t>
  </si>
  <si>
    <t>Pramod Kumar Saxena</t>
  </si>
  <si>
    <t>43569760 - Travel</t>
  </si>
  <si>
    <t>17 July '2022</t>
  </si>
  <si>
    <t>Shubham Jain</t>
  </si>
  <si>
    <t>45375310 - Travel</t>
  </si>
  <si>
    <t>29 Aug '2022</t>
  </si>
  <si>
    <t>Bharat Ji</t>
  </si>
  <si>
    <t>Ankur Gupta</t>
  </si>
  <si>
    <t>45370592 - Travel</t>
  </si>
  <si>
    <t>2 Sep '2022</t>
  </si>
  <si>
    <t>Suyog Shrestha</t>
  </si>
  <si>
    <t>45361608 - Travel</t>
  </si>
  <si>
    <t>Pulkit Sareen</t>
  </si>
  <si>
    <t>45374239 - Travel</t>
  </si>
  <si>
    <t>4 Sep '2022</t>
  </si>
  <si>
    <t>Param Sareen</t>
  </si>
  <si>
    <t>45372942 - Travel</t>
  </si>
  <si>
    <t>Satinder Singh</t>
  </si>
  <si>
    <t>28 Jun '2023</t>
  </si>
  <si>
    <t>Archika Jain/Raj Rani</t>
  </si>
  <si>
    <t>46498610  - Travel</t>
  </si>
  <si>
    <t>3 Jan '2023</t>
  </si>
  <si>
    <t>Arvind Kumar Popat</t>
  </si>
  <si>
    <t>60312014  - Travel</t>
  </si>
  <si>
    <t>5 Jan '2023</t>
  </si>
  <si>
    <t>Ketan Popat</t>
  </si>
  <si>
    <t>60311724 - Travel</t>
  </si>
  <si>
    <t>Abhinav Deepak Sheth</t>
  </si>
  <si>
    <t>60356745 - Travel</t>
  </si>
  <si>
    <t>12 Jan '2023</t>
  </si>
  <si>
    <t>Tirthdas Sadhwani,</t>
  </si>
  <si>
    <t>49077500 - Travel</t>
  </si>
  <si>
    <t>31 Jan '2023</t>
  </si>
  <si>
    <t>DHRIYA POPAT</t>
  </si>
  <si>
    <t>45618008 - Travel</t>
  </si>
  <si>
    <t>23 Aug '2023</t>
  </si>
  <si>
    <t>RAM RATAN</t>
  </si>
  <si>
    <t>23 Oct '2023</t>
  </si>
  <si>
    <t>Mahesh Makkar - CGHS Policy</t>
  </si>
  <si>
    <t>RAJ RANI JAIN</t>
  </si>
  <si>
    <t>67267655 - Travel</t>
  </si>
  <si>
    <t>4 Oct '2023</t>
  </si>
  <si>
    <t>ANUP SINGHAL</t>
  </si>
  <si>
    <t>45549595 - Travel</t>
  </si>
  <si>
    <t>31 Oct '2022</t>
  </si>
  <si>
    <t>50 T</t>
  </si>
  <si>
    <t>HARI KRISHAN BATHWAL</t>
  </si>
  <si>
    <t>30 Sep '2024</t>
  </si>
  <si>
    <t>ANJANA JOSHI</t>
  </si>
  <si>
    <t>66772576  - Travel</t>
  </si>
  <si>
    <t>30 Nov '2023</t>
  </si>
  <si>
    <t>43219562 - Travel</t>
  </si>
  <si>
    <t>22 Dec '2022</t>
  </si>
  <si>
    <t>ADITYA SHAH</t>
  </si>
  <si>
    <t>SANJAY KHAJANCHI</t>
  </si>
  <si>
    <t>75995735 - 15 Days</t>
  </si>
  <si>
    <t>31 Jan '2024</t>
  </si>
  <si>
    <t>Travel</t>
  </si>
  <si>
    <t>RAJIV MEHTA</t>
  </si>
  <si>
    <t>10 Mar '2024</t>
  </si>
  <si>
    <t>RASHMI ENTERPRISES</t>
  </si>
  <si>
    <t>75842031 - Grp Policy</t>
  </si>
  <si>
    <t>3 Dec '2024</t>
  </si>
  <si>
    <t>Bharat Sanghavi - Cancel</t>
  </si>
  <si>
    <t>Fresh - 14 Dec '2023</t>
  </si>
  <si>
    <t>MANOJ KUMAR JAIN</t>
  </si>
  <si>
    <t>7 Dec '2024</t>
  </si>
  <si>
    <t>Parul/Krishna - No Response</t>
  </si>
  <si>
    <t>NITIN JAIN</t>
  </si>
  <si>
    <t>ROHIT MEHTA - Latika</t>
  </si>
  <si>
    <t>03 Feb '2025</t>
  </si>
  <si>
    <t>Port - Other Code Niva</t>
  </si>
  <si>
    <t xml:space="preserve">SBI </t>
  </si>
  <si>
    <t>B.D RAMESH KUMAR</t>
  </si>
  <si>
    <t>Arogya Plus - 0000000058539504</t>
  </si>
  <si>
    <t>17 AUG '2022</t>
  </si>
  <si>
    <t>Arora</t>
  </si>
  <si>
    <t>RANDHIR SINGH</t>
  </si>
  <si>
    <t xml:space="preserve">Arogya Plus - P00PDH00100060043 </t>
  </si>
  <si>
    <t>31 AUG '2022</t>
  </si>
  <si>
    <t>BASANT CHAND SAXENA</t>
  </si>
  <si>
    <t>Arogya Plus - 0000000019030668-01</t>
  </si>
  <si>
    <t>22 SEP '2022</t>
  </si>
  <si>
    <t>PREM CHAND SAXENA</t>
  </si>
  <si>
    <t>Arogya Plus - 0000000019293520-01</t>
  </si>
  <si>
    <t>15 OCT '2022</t>
  </si>
  <si>
    <t>Top Up - 0000000019559962-01</t>
  </si>
  <si>
    <t>7 NOV '2022</t>
  </si>
  <si>
    <t>5L-Ded 3L</t>
  </si>
  <si>
    <t>MADHU BALA</t>
  </si>
  <si>
    <t>Arogya Plus - 0000000025948924</t>
  </si>
  <si>
    <t>21 DEC '2022</t>
  </si>
  <si>
    <t>SATISH CHANDRA GUPTA</t>
  </si>
  <si>
    <t>Arogya Plus - 0000000026759945</t>
  </si>
  <si>
    <t>4 FEB '2023</t>
  </si>
  <si>
    <t>Cancelled</t>
  </si>
  <si>
    <t>DILIP ANNASAHEB WALAWADE</t>
  </si>
  <si>
    <t>Arogya Plus - 0000000023205958-01</t>
  </si>
  <si>
    <t>31 MAY '2023</t>
  </si>
  <si>
    <t xml:space="preserve">Pradeep Kr Soni </t>
  </si>
  <si>
    <t>Kanchid</t>
  </si>
  <si>
    <t>Arogya Plus - 0000000029219300</t>
  </si>
  <si>
    <t>27 Jun '2023</t>
  </si>
  <si>
    <t>Pradeep Kr Soni  -  Cancel</t>
  </si>
  <si>
    <t>Ramesh Chander</t>
  </si>
  <si>
    <t>Arogya Plus - 0000000018273740-02</t>
  </si>
  <si>
    <t>21 Jul '2023</t>
  </si>
  <si>
    <t>Sagar Chawla</t>
  </si>
  <si>
    <t>Arogya Plus - 0000000026260299</t>
  </si>
  <si>
    <t>6 Jan '2023</t>
  </si>
  <si>
    <t>Arogya Plus - POOPDH00100162938</t>
  </si>
  <si>
    <t>Maha Maya - portour code star</t>
  </si>
  <si>
    <t>Kamal Chandra Pal</t>
  </si>
  <si>
    <t>Arogya Plus - 0000000012361666-04</t>
  </si>
  <si>
    <t>Inderjeet Dua</t>
  </si>
  <si>
    <t>Arogya Plus - 0000000028294774-01</t>
  </si>
  <si>
    <t>1 May '2024</t>
  </si>
  <si>
    <t>Amrik Ergo</t>
  </si>
  <si>
    <t>Aparajita Arora</t>
  </si>
  <si>
    <t>Arogya Premier - 0000000009105281-02</t>
  </si>
  <si>
    <t>20 May '2024</t>
  </si>
  <si>
    <t>Port Our code star</t>
  </si>
  <si>
    <t>Vinod Kumar Jain</t>
  </si>
  <si>
    <t>Arogya Plus - 0000000013275688-04</t>
  </si>
  <si>
    <t>2 Jun '2024</t>
  </si>
  <si>
    <t>Kamal Nain - Neelam</t>
  </si>
  <si>
    <t>Arogya Plus - 0000000023284966</t>
  </si>
  <si>
    <t>9 Jun '2024</t>
  </si>
  <si>
    <t>Sudhir Gupta - Port Bank Policy</t>
  </si>
  <si>
    <t>Monika Verma</t>
  </si>
  <si>
    <t>Arogya Plus - 0000000013283669-04</t>
  </si>
  <si>
    <t>Shiv Prakash Sharma</t>
  </si>
  <si>
    <t>Rawan Bodh</t>
  </si>
  <si>
    <t>Arogya Plus - 0000000030102997-01</t>
  </si>
  <si>
    <t>Prem Bahadur - No Cash</t>
  </si>
  <si>
    <t>29 Sep '2024</t>
  </si>
  <si>
    <t>1 Lakh</t>
  </si>
  <si>
    <t>Port Our code Relience</t>
  </si>
  <si>
    <t>Prem Chand Saxena</t>
  </si>
  <si>
    <t>Policy No: 0000000019293520-03</t>
  </si>
  <si>
    <t>Top Up - 0000000032379123-01</t>
  </si>
  <si>
    <t>13 Feb '2025</t>
  </si>
  <si>
    <t>10L - Ded.3L</t>
  </si>
  <si>
    <t>Anik Pal, Cancel</t>
  </si>
  <si>
    <t>Future</t>
  </si>
  <si>
    <t xml:space="preserve">FVR-12-22-7013268-00-000 </t>
  </si>
  <si>
    <t>25 Feb '2023</t>
  </si>
  <si>
    <t>75 T</t>
  </si>
  <si>
    <t xml:space="preserve">Ghanshyam </t>
  </si>
  <si>
    <t>PTO-12-22-7215026-00-000 - Vital</t>
  </si>
  <si>
    <t xml:space="preserve">Lawrence Joy </t>
  </si>
  <si>
    <t>M2223452 - Dog Policy</t>
  </si>
  <si>
    <t>FVR-12-21-7012577-00-000</t>
  </si>
  <si>
    <t>21 Nov '2022</t>
  </si>
  <si>
    <t>Kapil Goyal</t>
  </si>
  <si>
    <t>FVR-12-21-7012599-00-000</t>
  </si>
  <si>
    <t>24 Nov '2022</t>
  </si>
  <si>
    <t>Umang Goel</t>
  </si>
  <si>
    <t>FVR-12-21-7012617-00-000</t>
  </si>
  <si>
    <t>Rishish Kumar Jha</t>
  </si>
  <si>
    <t>FHR-12-22-7417222-00-000</t>
  </si>
  <si>
    <t>4 June '2023</t>
  </si>
  <si>
    <t>Diwanshu Gupta</t>
  </si>
  <si>
    <t>PTO-12-22-7216547-00-000 - Vital</t>
  </si>
  <si>
    <t>Ram Narayan Arora</t>
  </si>
  <si>
    <t>HSS-12-22-7107245-00-000 - Health Super Saver</t>
  </si>
  <si>
    <t>18 Sep '2023</t>
  </si>
  <si>
    <t>Usha Devi - Prem</t>
  </si>
  <si>
    <t>Sunil Kumar Tiwari</t>
  </si>
  <si>
    <t>PTO-12-22-7216997-01-000 - Vital</t>
  </si>
  <si>
    <t>Sheela</t>
  </si>
  <si>
    <t>FHR-12-22-7434749-00-000</t>
  </si>
  <si>
    <t>29 Nov '2023</t>
  </si>
  <si>
    <t>Jaysree</t>
  </si>
  <si>
    <t>Ramita Handa</t>
  </si>
  <si>
    <t>FHR-12-22-7439815-01-000 - Gold</t>
  </si>
  <si>
    <t>Port - K.K. Arora Star Code</t>
  </si>
  <si>
    <t>Rajan Sethi</t>
  </si>
  <si>
    <t>FHR-12-22-7441002-01-000 - Topaz</t>
  </si>
  <si>
    <t>28 Jan '2024</t>
  </si>
  <si>
    <t>Kirshan Handa</t>
  </si>
  <si>
    <t>FHR-12-22-7441756-01-000</t>
  </si>
  <si>
    <t>Jitendra Kumar Mishra</t>
  </si>
  <si>
    <t>FAT-12-22-7126680-01-000 - TopUp</t>
  </si>
  <si>
    <t>27 Feb '2024</t>
  </si>
  <si>
    <t>5L-Ded.3L</t>
  </si>
  <si>
    <t>Port - K.K. Arora Other Code Care</t>
  </si>
  <si>
    <t>Sanjeev Bansal - Term - 2</t>
  </si>
  <si>
    <t>FHR-12-21-7409389-00-000 - Gold</t>
  </si>
  <si>
    <t>21 Mar '2024</t>
  </si>
  <si>
    <t>Port Other Star</t>
  </si>
  <si>
    <t>Tushar Dewani</t>
  </si>
  <si>
    <t>FHA-12-23-7115773-00-000 - Platinum</t>
  </si>
  <si>
    <t>K.K. Arora Port Star Arora Code</t>
  </si>
  <si>
    <t>Gaganjeet</t>
  </si>
  <si>
    <t>FHA-12-23-7118541-00-000</t>
  </si>
  <si>
    <t>18 July '2024</t>
  </si>
  <si>
    <t>Port Our Code - star</t>
  </si>
  <si>
    <t>Nitin Jain</t>
  </si>
  <si>
    <t>PTO-12-22-7215987-00-000 - Vital</t>
  </si>
  <si>
    <t>EMI Option -Cancel</t>
  </si>
  <si>
    <t>FHR-12-23-7460949-01-000 - Gold</t>
  </si>
  <si>
    <t>27 Sep '2024</t>
  </si>
  <si>
    <t>Amrish Kumar Gupta</t>
  </si>
  <si>
    <t>FVB-12-23-7115346-01-000</t>
  </si>
  <si>
    <t>30 Dec '2024</t>
  </si>
  <si>
    <t>Nitin Gupta - CA - Port Our Code Star</t>
  </si>
  <si>
    <t>Kumar Anand - Term 3</t>
  </si>
  <si>
    <t>FHR-12-21-7055012-00-000 - Topaz</t>
  </si>
  <si>
    <t>Port Our Code</t>
  </si>
  <si>
    <t>Ritu Grover</t>
  </si>
  <si>
    <t>FHA-12-23-7126211-00-000 - Topaz</t>
  </si>
  <si>
    <t>K.K. Arora, Port Our Code</t>
  </si>
  <si>
    <t>Anurag Bhardwaj</t>
  </si>
  <si>
    <t xml:space="preserve">HSS-12-23-7111398-02-000 - Health Super Saver </t>
  </si>
  <si>
    <t>1 Jan '2025</t>
  </si>
  <si>
    <t>Lalit Tanwar</t>
  </si>
  <si>
    <t>Khushal Goswami</t>
  </si>
  <si>
    <t>HSS-12-23-7111314-01-000</t>
  </si>
  <si>
    <t>14 Dec '2024</t>
  </si>
  <si>
    <t>Satya Prakash Vishwakarma</t>
  </si>
  <si>
    <t xml:space="preserve">HSS-12-23-7111313-01-000 </t>
  </si>
  <si>
    <t>19 Dec '2024</t>
  </si>
  <si>
    <t xml:space="preserve">Usha Devi - Prem </t>
  </si>
  <si>
    <t>Ravi Chandok - Dinesh</t>
  </si>
  <si>
    <t>FVB-12-23-7115199-01-000</t>
  </si>
  <si>
    <t>23 Dec '2024</t>
  </si>
  <si>
    <t>Vinod</t>
  </si>
  <si>
    <t>Lapse</t>
  </si>
  <si>
    <t>11 Apl '2023</t>
  </si>
  <si>
    <t>7428760657</t>
  </si>
  <si>
    <t>Rajan Kumar Sony</t>
  </si>
  <si>
    <t>19 Mar '2024</t>
  </si>
  <si>
    <t>SANJAY NIJHAWAN - P.A</t>
  </si>
  <si>
    <t>SANDEEP KUMAR GUPTA - Bareilly - 3 Yrs</t>
  </si>
  <si>
    <t>Sheikh Minhazuddin - P.A</t>
  </si>
  <si>
    <t>21 Mar '2026</t>
  </si>
  <si>
    <t>2856 2061 5827 0901 000 - UR</t>
  </si>
  <si>
    <t>26 Mar '2028</t>
  </si>
  <si>
    <t xml:space="preserve">Port Other Code - Niva    </t>
  </si>
  <si>
    <t>ANSUMAN GUPTA - P.A</t>
  </si>
  <si>
    <t>162513733655 00</t>
  </si>
  <si>
    <t>Port Our code ergo</t>
  </si>
  <si>
    <t>Super Health - 202500378642000-00</t>
  </si>
  <si>
    <t>26 Mar '2026</t>
  </si>
  <si>
    <t>Sumit Shukla, Kapil</t>
  </si>
  <si>
    <t>Vechle</t>
  </si>
  <si>
    <t>Vaibhav Mohan</t>
  </si>
  <si>
    <t>24 Mar '2027</t>
  </si>
  <si>
    <t>2805 2035 3994 8503 000 - W.R</t>
  </si>
  <si>
    <t>Ragini Ohri - P.A</t>
  </si>
  <si>
    <t>11 Mar '2028</t>
  </si>
  <si>
    <t>FVB-34-25-7116438-03-000</t>
  </si>
  <si>
    <t>Pushpa Devi - 3 Yrs - Qty</t>
  </si>
  <si>
    <t>18 Mar '2026</t>
  </si>
  <si>
    <t>2805 2040 8682 2104 000 - Optima / UR</t>
  </si>
  <si>
    <t>Sarita - Madhya Pradesh</t>
  </si>
  <si>
    <t>21 Apl '2026</t>
  </si>
  <si>
    <t>Neeta Banerji</t>
  </si>
  <si>
    <t>2856 2061 2995 2101 000 - Secure - UR</t>
  </si>
  <si>
    <t>30 Mar '2027</t>
  </si>
  <si>
    <t>2805 2035 4276 1003 000 - UR / WR</t>
  </si>
  <si>
    <t>8 Mar '2026</t>
  </si>
  <si>
    <t>Virender Prashad Jain - P.A</t>
  </si>
  <si>
    <t>Anil Arora</t>
  </si>
  <si>
    <t xml:space="preserve">Anu Ohri, Port Other Code </t>
  </si>
  <si>
    <t>Jasvinder Kaur - Port Other Code</t>
  </si>
  <si>
    <t>Rupali - Roots Tower, Port Other Code Care</t>
  </si>
  <si>
    <t>Megha Jain - Travel Policy</t>
  </si>
  <si>
    <t>HARPAL SINGH - 3 Yrs - 2024 - 2027</t>
  </si>
  <si>
    <t>RAHUL JAIN - 3 Yrs - 2024 - 2027</t>
  </si>
  <si>
    <t>AMIT KUMAR SINGHAL - 3 Yrs - 2023 - 2026</t>
  </si>
  <si>
    <t>2820 2036 9830 7905 000</t>
  </si>
  <si>
    <t>13 Apl '2026</t>
  </si>
  <si>
    <t xml:space="preserve">Sunny Bhati </t>
  </si>
  <si>
    <t xml:space="preserve">Dinesh </t>
  </si>
  <si>
    <t>(Installments - 6870)</t>
  </si>
  <si>
    <t>05 Apr '2025</t>
  </si>
  <si>
    <t>Amit Mohan Gupta</t>
  </si>
  <si>
    <t>ICICI Lombard</t>
  </si>
  <si>
    <t>Nitin Bhola</t>
  </si>
  <si>
    <t xml:space="preserve">ANU OHRI </t>
  </si>
  <si>
    <t>ANU OHRI - HR</t>
  </si>
  <si>
    <t>Sachin Gupta</t>
  </si>
  <si>
    <t>FHA-34-25-7129684-01-000</t>
  </si>
  <si>
    <t>30 Mar '2028</t>
  </si>
  <si>
    <t>Kapil Dev - 3 Yrs</t>
  </si>
  <si>
    <t>Ankush Saluja</t>
  </si>
  <si>
    <t>Rajesh Sawhney - Not Intr.</t>
  </si>
  <si>
    <t>Bharat Sanghavi , Death</t>
  </si>
  <si>
    <r>
      <t>SAGAR SINGH RANA -</t>
    </r>
    <r>
      <rPr>
        <sz val="8"/>
        <color rgb="FFFF0000"/>
        <rFont val="Bookman Old Style"/>
        <family val="1"/>
      </rPr>
      <t xml:space="preserve"> Shrenu PME Solutions</t>
    </r>
  </si>
  <si>
    <r>
      <t xml:space="preserve">RAKESH KUMAR - </t>
    </r>
    <r>
      <rPr>
        <sz val="8"/>
        <color rgb="FFFF0000"/>
        <rFont val="Bookman Old Style"/>
        <family val="1"/>
      </rPr>
      <t>Shrenu PME Solutions</t>
    </r>
  </si>
  <si>
    <r>
      <t xml:space="preserve">SANDEEP SHARMA - </t>
    </r>
    <r>
      <rPr>
        <sz val="8"/>
        <color rgb="FFFF0000"/>
        <rFont val="Bookman Old Style"/>
        <family val="1"/>
      </rPr>
      <t>Shrenu PME Solutions</t>
    </r>
  </si>
  <si>
    <r>
      <t xml:space="preserve">VIKAS RAJBEER R - </t>
    </r>
    <r>
      <rPr>
        <sz val="8"/>
        <color rgb="FFFF0000"/>
        <rFont val="Bookman Old Style"/>
        <family val="1"/>
      </rPr>
      <t>Shrenu PME Solutions</t>
    </r>
  </si>
  <si>
    <r>
      <t xml:space="preserve">LOKESH KUMAR - </t>
    </r>
    <r>
      <rPr>
        <sz val="8"/>
        <color rgb="FFFF0000"/>
        <rFont val="Bookman Old Style"/>
        <family val="1"/>
      </rPr>
      <t>Shrenu PME Solutions</t>
    </r>
  </si>
  <si>
    <r>
      <t xml:space="preserve">JEETU GYAN CHAND - </t>
    </r>
    <r>
      <rPr>
        <sz val="8"/>
        <color rgb="FFFF0000"/>
        <rFont val="Bookman Old Style"/>
        <family val="1"/>
      </rPr>
      <t>Shrenu PME Solutions</t>
    </r>
  </si>
  <si>
    <r>
      <t>SANJAY KUMAR -</t>
    </r>
    <r>
      <rPr>
        <sz val="8"/>
        <color rgb="FFFF0000"/>
        <rFont val="Bookman Old Style"/>
        <family val="1"/>
      </rPr>
      <t xml:space="preserve"> Shrenu PME Solutions</t>
    </r>
  </si>
  <si>
    <r>
      <t xml:space="preserve">ANKIT RATHORE - </t>
    </r>
    <r>
      <rPr>
        <sz val="8"/>
        <color rgb="FFFF0000"/>
        <rFont val="Bookman Old Style"/>
        <family val="1"/>
      </rPr>
      <t>Shrenu PME Solutions</t>
    </r>
  </si>
  <si>
    <t>SHOBHA RANA - Surplus - 2 Yrs</t>
  </si>
  <si>
    <t>ANURAG OHRI - 3 Yrs</t>
  </si>
  <si>
    <t>13 Apl '2028</t>
  </si>
  <si>
    <t>8 Apl '2026</t>
  </si>
  <si>
    <t xml:space="preserve">2805 2035 4627 1605 000 - Optima </t>
  </si>
  <si>
    <t>9 Apl '2026</t>
  </si>
  <si>
    <t>2805 2035 9699 5005 000 - Optima / UR</t>
  </si>
  <si>
    <t>7 Apl '2026</t>
  </si>
  <si>
    <t>2805 2036 2104 5805 000 - Optima / WR / UR</t>
  </si>
  <si>
    <t xml:space="preserve">Tarun Kumar Mittal </t>
  </si>
  <si>
    <t>2806 2036 5456 9804 000 - Easy / WR</t>
  </si>
  <si>
    <t xml:space="preserve">Mohammed Mushtaq Basha </t>
  </si>
  <si>
    <t>2856 2053 1744 1001 000 - Secure / UR</t>
  </si>
  <si>
    <t>Rajeh Sawhney, Port Our Code Star</t>
  </si>
  <si>
    <t>Anu Ohri, Cancel</t>
  </si>
  <si>
    <t>14681123020128 97</t>
  </si>
  <si>
    <t>17 Apr '2026</t>
  </si>
  <si>
    <t>16301120022297 42</t>
  </si>
  <si>
    <t>15 Apr '2026</t>
  </si>
  <si>
    <t>67051121050157 30</t>
  </si>
  <si>
    <t>99981121050644 59</t>
  </si>
  <si>
    <t xml:space="preserve"> ICICI Lombard</t>
  </si>
  <si>
    <t xml:space="preserve"> Vehicle - Kuldeep Singh </t>
  </si>
  <si>
    <t>10 Apl '2026</t>
  </si>
  <si>
    <t>H.R - 31671148202504</t>
  </si>
  <si>
    <t>16 Apl '2026</t>
  </si>
  <si>
    <t>12 Apl '2028</t>
  </si>
  <si>
    <t>H.R - 32387675202502</t>
  </si>
  <si>
    <t>2805 2041 5719 4902 000  - WR / URB</t>
  </si>
  <si>
    <r>
      <t xml:space="preserve">2805 2047 9517 4701 001 - </t>
    </r>
    <r>
      <rPr>
        <sz val="11"/>
        <color theme="1"/>
        <rFont val="Bookman Old Style"/>
        <family val="1"/>
      </rPr>
      <t>W.R/URB</t>
    </r>
  </si>
  <si>
    <t>Piyush Dabral - 3 Yrs</t>
  </si>
  <si>
    <t>Abhynav Bhaan - 2 Yrs</t>
  </si>
  <si>
    <t>15 Apl '2027</t>
  </si>
  <si>
    <t>2805 2035 3931 7503 000 - Optima / UR</t>
  </si>
  <si>
    <t>17 Apl '2026</t>
  </si>
  <si>
    <t>2856 2053 7204 5202 000 - Secure / UR</t>
  </si>
  <si>
    <t>9 May '2026</t>
  </si>
  <si>
    <t xml:space="preserve">Hem Lata Bhardwaj </t>
  </si>
  <si>
    <t>2805 2035 8351 0803 000 - Optima / UR</t>
  </si>
  <si>
    <t>PARAS NARUKA</t>
  </si>
  <si>
    <t>PARAS NARUKA - P.A</t>
  </si>
  <si>
    <t>P.A - 35205172202500</t>
  </si>
  <si>
    <t>15 Apl '2026</t>
  </si>
  <si>
    <t>14 Apl '2028</t>
  </si>
  <si>
    <t>2856 2073 4173 8800 000 - Secure / UR</t>
  </si>
  <si>
    <t>20 Apl '2026</t>
  </si>
  <si>
    <t>2856 2053 8641  2502 000 - Secure / UR</t>
  </si>
  <si>
    <t>Super Health - 0000000042882245</t>
  </si>
  <si>
    <t>18 Apr '2026</t>
  </si>
  <si>
    <t>2805 2041 2113 9104 000 - Optima / UR</t>
  </si>
  <si>
    <t>Travel - T0742364</t>
  </si>
  <si>
    <t>Yamini Channa - Travel</t>
  </si>
  <si>
    <t>Dr. Himanshu - 22.04.2025</t>
  </si>
  <si>
    <t>R.A - 31675288202504  - (W.SG)</t>
  </si>
  <si>
    <t>19 Apl '2026</t>
  </si>
  <si>
    <t>Aspire - 35693566202500 - Gold+ SG+</t>
  </si>
  <si>
    <t>Aspire - 32394249202503 - Gold+ SG+</t>
  </si>
  <si>
    <t>26 Apl '2026</t>
  </si>
  <si>
    <t>Anand Ohri</t>
  </si>
  <si>
    <t>12 Apl '2026</t>
  </si>
  <si>
    <t>2805 2053 5422 9102 000 - Optima / WR / UR</t>
  </si>
  <si>
    <t>Ragini Ohri</t>
  </si>
  <si>
    <t>2805 2053 5424 3102 000  - Optima / WR / UR</t>
  </si>
  <si>
    <t>2 May '2028</t>
  </si>
  <si>
    <t>Aspire - 32413992202501 - Gold+ SG+</t>
  </si>
  <si>
    <t>30 Apl '2026</t>
  </si>
  <si>
    <t xml:space="preserve">2806 2035 8734 0805 000 - Easy Health </t>
  </si>
  <si>
    <t>24 Apr '2026</t>
  </si>
  <si>
    <t>66291109160944 90</t>
  </si>
  <si>
    <t>27101116073257 13</t>
  </si>
  <si>
    <t>29 Apr '2026</t>
  </si>
  <si>
    <t>65331116073562 77</t>
  </si>
  <si>
    <t>25 Apr '2026</t>
  </si>
  <si>
    <t>49241119070169 38</t>
  </si>
  <si>
    <t>30691118082349 33</t>
  </si>
  <si>
    <t>26 Apr '2026</t>
  </si>
  <si>
    <t>9311991079 - Father Manvendra</t>
  </si>
  <si>
    <t>11381125000924 13</t>
  </si>
  <si>
    <t>Father - Lakhvinder</t>
  </si>
  <si>
    <t>27 Mar '2028</t>
  </si>
  <si>
    <t>TARUN BAMOLA - 3 Yrs</t>
  </si>
  <si>
    <t>56681117081129 37</t>
  </si>
  <si>
    <t>29681122030145 08</t>
  </si>
  <si>
    <t>99611125000033 68</t>
  </si>
  <si>
    <t>22111123020139 65</t>
  </si>
  <si>
    <t>85421113121499 51 - Hly</t>
  </si>
  <si>
    <t>97631125012830 18</t>
  </si>
  <si>
    <t>Travel Policy</t>
  </si>
  <si>
    <t>28 Apl '2026</t>
  </si>
  <si>
    <t>2805 2036 0519 3605 000 - Optima / WR</t>
  </si>
  <si>
    <t>Alok Kumar Jha - Bihar</t>
  </si>
  <si>
    <t>22 Apl '2028</t>
  </si>
  <si>
    <t>Sanjay Kumar - D.Garden - 3 Yrs</t>
  </si>
  <si>
    <t>2856 2073 5721 2600 000 - Secure / UR</t>
  </si>
  <si>
    <t>Nikhil Verma - D.Garden - 3 Yrs</t>
  </si>
  <si>
    <t>2805 2035 9776 2602 000 - WR / UR</t>
  </si>
  <si>
    <t>2805 2040 7009 0604 000 - Optima</t>
  </si>
  <si>
    <t>TARUN KUMAR - Noida - 3 Yrs</t>
  </si>
  <si>
    <t>PAWAN KUMAR AGRAWAL - 3 Yrs</t>
  </si>
  <si>
    <t>HARDIK DUA - 2 Yrs</t>
  </si>
  <si>
    <t>24 Apl '2026</t>
  </si>
  <si>
    <t>29 May '2028</t>
  </si>
  <si>
    <t>22 May '2026</t>
  </si>
  <si>
    <t>1 May '2026</t>
  </si>
  <si>
    <t>2805 2036 0056 6905 000 - Optima</t>
  </si>
  <si>
    <t>18 Apl '2026</t>
  </si>
  <si>
    <t>Laxmi</t>
  </si>
  <si>
    <t>29 May '2026</t>
  </si>
  <si>
    <t xml:space="preserve">10 Apr '2026 </t>
  </si>
  <si>
    <t>2805 2035 8333 2805 000 - Optima / UR</t>
  </si>
  <si>
    <t>Ravender Singh</t>
  </si>
  <si>
    <t>Sakshi Dewan</t>
  </si>
  <si>
    <t>Sushila Gangwar</t>
  </si>
  <si>
    <t xml:space="preserve">Ravinder </t>
  </si>
  <si>
    <t>86 K</t>
  </si>
  <si>
    <t>Pratik Rastogi/Pravin</t>
  </si>
  <si>
    <t>131 622 528 2400 31512</t>
  </si>
  <si>
    <t>131 622 528 2400 40294</t>
  </si>
  <si>
    <t>131 622 523 0800 5821</t>
  </si>
  <si>
    <t>Saurabh Dewan - Motor</t>
  </si>
  <si>
    <t>131 622 528 2400 40349</t>
  </si>
  <si>
    <t>130 222 428 2400 53963</t>
  </si>
  <si>
    <t>7 May '2026</t>
  </si>
  <si>
    <t>2805 2035 8069 0805 000 - Optima</t>
  </si>
  <si>
    <t>2820 2038 7224 4405 000 - P.A</t>
  </si>
  <si>
    <t>Arun Kumar Sharma - P.A</t>
  </si>
  <si>
    <t>2814 2064 1798 3501  000 - Energy - Silver</t>
  </si>
  <si>
    <t>2805 2041 2073 6804 000 - Optima / UR</t>
  </si>
  <si>
    <t xml:space="preserve">                                           Total</t>
  </si>
  <si>
    <t>10 Lakh - Dedut 50 K</t>
  </si>
  <si>
    <t>2805 2041 2507 1404 001 - Optima / UR</t>
  </si>
  <si>
    <t>6 May '2026</t>
  </si>
  <si>
    <t>R.A-2.0 - 32387646202501 - Platinium+ SG+</t>
  </si>
  <si>
    <t>R.A-2.0 - 32469008202502 - Bronze+ SG+</t>
  </si>
  <si>
    <t>R.A-2.0 - 33957256202501 - Platinum+(W.SG)</t>
  </si>
  <si>
    <t>R.A-2.0 - 32388626202501 - Bronze+ SG+</t>
  </si>
  <si>
    <t>7 May '2028</t>
  </si>
  <si>
    <t>ASHOK KUMAR BATHWAL - 3 Yrs</t>
  </si>
  <si>
    <t>8 May '2026</t>
  </si>
  <si>
    <t>66381626000148 16</t>
  </si>
  <si>
    <t>NILESH SHUKLA - P.A</t>
  </si>
  <si>
    <t>83981119070013 30</t>
  </si>
  <si>
    <t>13051126000633 75</t>
  </si>
  <si>
    <t>ANJALI GUPTA</t>
  </si>
  <si>
    <t>27 Apr '2026</t>
  </si>
  <si>
    <t>97681119070376 48</t>
  </si>
  <si>
    <t>10 May '2026</t>
  </si>
  <si>
    <t>2805 2035 9002 5905 000 - Optima / UR</t>
  </si>
  <si>
    <t>27 May '2026</t>
  </si>
  <si>
    <t>Anju Pathak</t>
  </si>
  <si>
    <t>Tarun Bamola</t>
  </si>
  <si>
    <t>Himanshu Verma</t>
  </si>
  <si>
    <t>04.10.2025</t>
  </si>
  <si>
    <t>01.10.2025</t>
  </si>
  <si>
    <t>18.10.2025</t>
  </si>
  <si>
    <t>Satyajeet Ghoshal</t>
  </si>
  <si>
    <t>Durga Gupta</t>
  </si>
  <si>
    <t>15.12.2025</t>
  </si>
  <si>
    <t>Bhagwati Trading Co.</t>
  </si>
  <si>
    <t>Vijender Singh</t>
  </si>
  <si>
    <t>10.04.2026</t>
  </si>
  <si>
    <t>23.05.2026</t>
  </si>
  <si>
    <t>09.09.2025</t>
  </si>
  <si>
    <t>13.09.2025</t>
  </si>
  <si>
    <t>H.R - 31796125202504</t>
  </si>
  <si>
    <t>17 Jun '2026</t>
  </si>
  <si>
    <t>14 May '2026</t>
  </si>
  <si>
    <t>4 May '2026</t>
  </si>
  <si>
    <t>4 Mar '2026</t>
  </si>
  <si>
    <t>12 May '2026</t>
  </si>
  <si>
    <t>95241115072907 28</t>
  </si>
  <si>
    <t>18 May '2026</t>
  </si>
  <si>
    <t>10 May '2028</t>
  </si>
  <si>
    <t>2856 2073 8702 5200 000 - Super Secure/UR</t>
  </si>
  <si>
    <t>Ronak Agarwal - 3 Yrs</t>
  </si>
  <si>
    <t>Aspire - 365628302025 00 - Gold+ SG+</t>
  </si>
  <si>
    <t>P.A - 369132552025 00</t>
  </si>
  <si>
    <t>R.A - 32430832202503</t>
  </si>
  <si>
    <t>R.A-2.0 - 32432695202502 - Bronze+ SG+</t>
  </si>
  <si>
    <t>17 May '2026</t>
  </si>
  <si>
    <t>25 May '2026</t>
  </si>
  <si>
    <t>R.A - 32417030202503  - SG+</t>
  </si>
  <si>
    <t>R.A - 32454310202502  - W.SG</t>
  </si>
  <si>
    <t>R.A - 31771270202504 - SG</t>
  </si>
  <si>
    <t>H.R - 31786822202504</t>
  </si>
  <si>
    <t>13 Jun ''2026</t>
  </si>
  <si>
    <t>HINA GHELANI - H.R</t>
  </si>
  <si>
    <t>63551116100800 98</t>
  </si>
  <si>
    <t>ANEESHA RANJAN</t>
  </si>
  <si>
    <t>2 May '2025</t>
  </si>
  <si>
    <t>95841111052882 79</t>
  </si>
  <si>
    <t>30671125012818 39</t>
  </si>
  <si>
    <t>22271123030959 24</t>
  </si>
  <si>
    <t>19 May '2026</t>
  </si>
  <si>
    <t>DEEPANSHU GOLA</t>
  </si>
  <si>
    <t>48261124020558 49</t>
  </si>
  <si>
    <t xml:space="preserve">MILLI CHOPRA </t>
  </si>
  <si>
    <t>81761115073102 30</t>
  </si>
  <si>
    <t>26 May '2026</t>
  </si>
  <si>
    <t>JYOTI GUPTA - 3 Yrs</t>
  </si>
  <si>
    <t>DEEPAK TYAGI - P.A</t>
  </si>
  <si>
    <t xml:space="preserve">DEEPAK TYAGI </t>
  </si>
  <si>
    <t>PRAVESH KUMAR - P.A</t>
  </si>
  <si>
    <t>30 Laklh</t>
  </si>
  <si>
    <t>P.A - 35537015202500</t>
  </si>
  <si>
    <t>Aspire - 356797002025 00</t>
  </si>
  <si>
    <t xml:space="preserve">PRAVESH KUMAR </t>
  </si>
  <si>
    <t>Sumit / Goglani</t>
  </si>
  <si>
    <t>21.05.2026</t>
  </si>
  <si>
    <t>Rajat Jain</t>
  </si>
  <si>
    <t>3005/393358512/00/B00</t>
  </si>
  <si>
    <t>Amit Gupta / Amrish</t>
  </si>
  <si>
    <t>DL 5S CU 2767</t>
  </si>
  <si>
    <t>SIDDHARTH CHAUDHARY</t>
  </si>
  <si>
    <t>30 May '2026</t>
  </si>
  <si>
    <t>R.A - 32465998202503 - Titanium+ SG+</t>
  </si>
  <si>
    <t>99061121050067 00</t>
  </si>
  <si>
    <t>69331121050364 89</t>
  </si>
  <si>
    <t>16 Jun '2026</t>
  </si>
  <si>
    <t>58381117091826 28</t>
  </si>
  <si>
    <t>7 Jun '2026</t>
  </si>
  <si>
    <t>73501118020800 37</t>
  </si>
  <si>
    <t>21 May '2026</t>
  </si>
  <si>
    <t>57761125010086 77</t>
  </si>
  <si>
    <t>SHARAD CHAUDHARY</t>
  </si>
  <si>
    <t>2 Jun '2026</t>
  </si>
  <si>
    <t>H.C - 32420832202502</t>
  </si>
  <si>
    <t xml:space="preserve"> 25 May '2028</t>
  </si>
  <si>
    <t>VINOD SHAH - 3 Yrs</t>
  </si>
  <si>
    <t>Aspire - 32407758202402 - Gold+ SG+</t>
  </si>
  <si>
    <t>28 May '2026</t>
  </si>
  <si>
    <t>2805 2036 2109 3505 000 - Optima / WR / UR</t>
  </si>
  <si>
    <t>2814 2041 7091 1804 000 - Energy Silver</t>
  </si>
  <si>
    <t>2805 2035 9854 3005 000 - Optima / UR</t>
  </si>
  <si>
    <t>2805 2035 9219 1205 000 - Optima / UR</t>
  </si>
  <si>
    <t>2805 2035 8787 0805 000 - Optima</t>
  </si>
  <si>
    <t>2856 2054 3685 3302 000</t>
  </si>
  <si>
    <t>Manasvi Bhardwaj - Dehradun</t>
  </si>
  <si>
    <t>2805 2041 5867 8804 000 - Optima / WR / UR</t>
  </si>
  <si>
    <t>2805 2036 0446 7305 000 - Optima / UR</t>
  </si>
  <si>
    <t>2805 2035 6344 3005 000 - Optima / UR</t>
  </si>
  <si>
    <t>2820 2036 9796 3005 000 - P.A</t>
  </si>
  <si>
    <t>Rohit Choudhary - P.A</t>
  </si>
  <si>
    <t>K.K. Arora, Port Other Code</t>
  </si>
  <si>
    <t xml:space="preserve">2805 2035 7896 9805 000 - Optima </t>
  </si>
  <si>
    <t>6 May '2028</t>
  </si>
  <si>
    <t>MINA GUPTA - 3 Yrs</t>
  </si>
  <si>
    <t>Aspire - 35067024202500 - DM / Gold+ SG+</t>
  </si>
  <si>
    <t>25 May '2028</t>
  </si>
  <si>
    <t>P.A - 36930918202500</t>
  </si>
  <si>
    <t>ATUL MAMGAIN</t>
  </si>
  <si>
    <t>ATUL MAMGAIN - P.A</t>
  </si>
  <si>
    <t>AMOD SAHNI</t>
  </si>
  <si>
    <t>P.A - 36446346202500</t>
  </si>
  <si>
    <t>Aspire - 35589342202500</t>
  </si>
  <si>
    <t>H.C - 34081222202400</t>
  </si>
  <si>
    <t>8 June '2026</t>
  </si>
  <si>
    <t>Parul / Krishna</t>
  </si>
  <si>
    <t>SATENDER SINGH</t>
  </si>
  <si>
    <t>SARITA DEVI / VIJENDRA SINGH</t>
  </si>
  <si>
    <t>5 Jun '2026</t>
  </si>
  <si>
    <t>4 Jun '2026</t>
  </si>
  <si>
    <t>Super Health - 0000000043095494</t>
  </si>
  <si>
    <t>25 Jun '2026</t>
  </si>
  <si>
    <t>2805 2036 1953 2405 000 - Optima / Wellb. Rider</t>
  </si>
  <si>
    <t>2805 2035 6143 9605 000 - Optima / WR</t>
  </si>
  <si>
    <t>9 Jun '2026</t>
  </si>
  <si>
    <t>2806 2036 0161 4105 000</t>
  </si>
  <si>
    <t>26 Jun '2026</t>
  </si>
  <si>
    <t>50 L - 5 L Dedut.</t>
  </si>
  <si>
    <t>2856 2074 2964 2100 000 - Secure / UR</t>
  </si>
  <si>
    <t>Tarun Tanwar - Dedutible</t>
  </si>
  <si>
    <t>NEERAJ KUMAR - P.A</t>
  </si>
  <si>
    <t>SATENDER SINGH - P.A</t>
  </si>
  <si>
    <t>SARITA DEVI / VIJENDRA SINGH - P.A</t>
  </si>
  <si>
    <t>31 May '2026</t>
  </si>
  <si>
    <t>R.A-2.0 - 35326557202500 - Bronze+ SG+</t>
  </si>
  <si>
    <t>42081119070176 94</t>
  </si>
  <si>
    <t>39271110160790 90</t>
  </si>
  <si>
    <t>66541125010479 10</t>
  </si>
  <si>
    <t>ANKITA MESHRAM</t>
  </si>
  <si>
    <t>42931126000199 79</t>
  </si>
  <si>
    <t>27591125011572 96</t>
  </si>
  <si>
    <t>2 June '2026</t>
  </si>
  <si>
    <t>20471126002546 53</t>
  </si>
  <si>
    <t>10 Jun '2026</t>
  </si>
  <si>
    <t>Dharmender - Port Our Code Star (Durga Gupta)</t>
  </si>
  <si>
    <t>SHISHUPAL SINGH</t>
  </si>
  <si>
    <t>10 L-Ded.1 L</t>
  </si>
  <si>
    <t>Dharmender</t>
  </si>
  <si>
    <t>67001117091221 63</t>
  </si>
  <si>
    <t>98491125012849 88</t>
  </si>
  <si>
    <t>44381125000046 36</t>
  </si>
  <si>
    <t>24 Feb '2026</t>
  </si>
  <si>
    <t>H. Cash 1000</t>
  </si>
  <si>
    <t>35751125010318 10</t>
  </si>
  <si>
    <t>13 Jun '2026</t>
  </si>
  <si>
    <t>Amit Singhal</t>
  </si>
  <si>
    <t>78541119070511 61</t>
  </si>
  <si>
    <t>27801119070297 78</t>
  </si>
  <si>
    <t>P.A - 36185583202500</t>
  </si>
  <si>
    <t>P.A - 36218823202500</t>
  </si>
  <si>
    <t>90471121050188 23</t>
  </si>
  <si>
    <t>23 Jun '2026</t>
  </si>
  <si>
    <t>29 Jun '2026</t>
  </si>
  <si>
    <t>6 Jun '2026</t>
  </si>
  <si>
    <t>2856 2054 7029 5102 000 - Secure / UR</t>
  </si>
  <si>
    <t>19 Jun '2026</t>
  </si>
  <si>
    <t>2805 2036 0993 0505 000 -  Optima / UR</t>
  </si>
  <si>
    <t>2805 2035 8429 8705 000 - Optima / WR</t>
  </si>
  <si>
    <t>2805 2035 8261 8105 000  - Optima / WR / UR</t>
  </si>
  <si>
    <t>Rajesh - Palwal</t>
  </si>
  <si>
    <t>2805 2041 5808 8204 000 - Optima / WR / UR</t>
  </si>
  <si>
    <t>P.A - 35957502202500</t>
  </si>
  <si>
    <t>10.06.2026</t>
  </si>
  <si>
    <t>R.A - 31787047202504</t>
  </si>
  <si>
    <t>Sunita Chadha - Fresh May '2025</t>
  </si>
  <si>
    <t>9212443456 - Shyam Sunder - Father</t>
  </si>
  <si>
    <t>2805 2035 7199 4405 000 - Optima /WR/UR</t>
  </si>
  <si>
    <t>131 6225 282 400 56584</t>
  </si>
  <si>
    <t>Ashok</t>
  </si>
  <si>
    <t>21 Jun '2026</t>
  </si>
  <si>
    <t>44041125010725 24</t>
  </si>
  <si>
    <t>14 Jun '2026</t>
  </si>
  <si>
    <t>Aspire - 35034602202500 - Gold+ T.Network</t>
  </si>
  <si>
    <t>R.A-2.0 - 36444452202500 - Bronze+ DM</t>
  </si>
  <si>
    <t>R.A - 32494483202503 - Titanium+ SG+ W.SG</t>
  </si>
  <si>
    <t>18 Jun '2026</t>
  </si>
  <si>
    <t>YOGESH KUMAR HANS - Sarita</t>
  </si>
  <si>
    <t>13 Jun '2028</t>
  </si>
  <si>
    <t>R.A-2.0 - 32474931202501 - Titanium+ SG+</t>
  </si>
  <si>
    <t>VINAY KUMAR TIWARI - 3 Yrs</t>
  </si>
  <si>
    <t>Aspire - 36579840202500 - Gold+ T.Network</t>
  </si>
  <si>
    <t xml:space="preserve">ABHINAV D SHETH </t>
  </si>
  <si>
    <t>Himani</t>
  </si>
  <si>
    <t>Ronak Aggarwal</t>
  </si>
  <si>
    <t>25 Jun '2028</t>
  </si>
  <si>
    <t>2856 2074 9270 4400 000 - Super Secure / UR</t>
  </si>
  <si>
    <t>Mohit Mittal - Manju - 3 Yrs</t>
  </si>
  <si>
    <t>2805 2035 8974 5705 001 - Optima / WR / UR</t>
  </si>
  <si>
    <t>16 July '2026</t>
  </si>
  <si>
    <t>20 Jun '2026</t>
  </si>
  <si>
    <t>2805 2036 1125 9105 000 - Optima</t>
  </si>
  <si>
    <t>19 Jun '2027</t>
  </si>
  <si>
    <t>5 L - 25K Dedut.</t>
  </si>
  <si>
    <t>2805 2035 7298 4803 000 - Optima / WR / UR</t>
  </si>
  <si>
    <t xml:space="preserve">2805 2035 9927 5005 000 - Optima </t>
  </si>
  <si>
    <t>2805 2041 7909 0304 000  - Optima / WR / UR</t>
  </si>
  <si>
    <t>24 Jun '2026</t>
  </si>
  <si>
    <t>2805 2041  6703 9704 000 - Optima / WR / UR</t>
  </si>
  <si>
    <t>2820 2036 9338 2505 000</t>
  </si>
  <si>
    <t>Pooja  Agarwal</t>
  </si>
  <si>
    <t>49091115072164 24</t>
  </si>
  <si>
    <t>43961122040031 03</t>
  </si>
  <si>
    <t>17 Jun '2028</t>
  </si>
  <si>
    <t>2800 0000 0125 4100 000 - Super Secure</t>
  </si>
  <si>
    <t>Anand Khedia - 3 Yrs</t>
  </si>
  <si>
    <t>Ronak Mittal</t>
  </si>
  <si>
    <t>27251625010535 84</t>
  </si>
  <si>
    <t>59821121050594 18</t>
  </si>
  <si>
    <t>47331121050483 62</t>
  </si>
  <si>
    <t>23751123030490 12</t>
  </si>
  <si>
    <t>22 Jun '2026</t>
  </si>
  <si>
    <t>98571121050917 49</t>
  </si>
  <si>
    <t>10061121050966 10</t>
  </si>
  <si>
    <t>99881119070542 53</t>
  </si>
  <si>
    <t>84301121050785 02</t>
  </si>
  <si>
    <t>27 July '2026</t>
  </si>
  <si>
    <t xml:space="preserve">25 Lakh    </t>
  </si>
  <si>
    <t>24631126000775 63</t>
  </si>
  <si>
    <t>RAHUL SHARMA</t>
  </si>
  <si>
    <t>2805 2035 8548 3705 001 - Optima / WR / UR</t>
  </si>
  <si>
    <t>9953788047/ 9205492365</t>
  </si>
  <si>
    <t>2805 2035 7747 2005 000 - Optima / UR</t>
  </si>
  <si>
    <t>60371119032601 04</t>
  </si>
  <si>
    <t>83361117092148 31</t>
  </si>
  <si>
    <t>35781124020111 66</t>
  </si>
  <si>
    <t>6 July '2026</t>
  </si>
  <si>
    <t>LAKHVINDER SINGH - Ranjeet Kaur</t>
  </si>
  <si>
    <t>92731126000482 17</t>
  </si>
  <si>
    <t xml:space="preserve">Son </t>
  </si>
  <si>
    <t>2805 2036 0591 2605 000 - Optima / WR / UR / W,B</t>
  </si>
  <si>
    <t>2805 2035 8456 3603 000 - Optima / UR</t>
  </si>
  <si>
    <t>5 July '2027</t>
  </si>
  <si>
    <t xml:space="preserve">12 July '2028 </t>
  </si>
  <si>
    <t>2856 2047 6517 6501 000 - Secure</t>
  </si>
  <si>
    <t>2 July '2026</t>
  </si>
  <si>
    <t>2805 2035 8343 0005 000 - Optima / WR / UR</t>
  </si>
  <si>
    <t>Port Our Code Relience</t>
  </si>
  <si>
    <t>20 Jul '2026</t>
  </si>
  <si>
    <t>8810325510/ 9811335926</t>
  </si>
  <si>
    <t>SUNIL KUMAR SAINI</t>
  </si>
  <si>
    <t>29 Jul '2026</t>
  </si>
  <si>
    <t>SUNIL KUMAR SAINI - P.A</t>
  </si>
  <si>
    <t>131 622 528 2400 70563</t>
  </si>
  <si>
    <t>22 July '2026</t>
  </si>
  <si>
    <t>131 622 528 2400 68517</t>
  </si>
  <si>
    <t>Bala Kanvar</t>
  </si>
  <si>
    <t>22 Aug '2026</t>
  </si>
  <si>
    <t>01 July '2026</t>
  </si>
  <si>
    <t>11 Apr '2023</t>
  </si>
  <si>
    <t xml:space="preserve">  Code : Arun Kumar Gupta - 01914962</t>
  </si>
  <si>
    <t>Dalvender Singh</t>
  </si>
  <si>
    <t xml:space="preserve"> Hdfc Life - Prem Bahadur</t>
  </si>
  <si>
    <t xml:space="preserve"> Hdfc Life - Arun Kumar Gupta</t>
  </si>
  <si>
    <t>Soumya Chandra</t>
  </si>
  <si>
    <t>10911118082024 38</t>
  </si>
  <si>
    <t>12 July '2026</t>
  </si>
  <si>
    <t>P.A - 37235784202500</t>
  </si>
  <si>
    <t>16 July '2027</t>
  </si>
  <si>
    <t>2805 2055 3871 5701 000 - Optima / WR / H.Cash</t>
  </si>
  <si>
    <t>Mukul Rastogi - 2 Yrs</t>
  </si>
  <si>
    <t>Parth Gupta</t>
  </si>
  <si>
    <t>19 July '2026</t>
  </si>
  <si>
    <t>2805 2035 7352 7505 000 - Optima / WB</t>
  </si>
  <si>
    <t>131 622 528 2400 68209</t>
  </si>
  <si>
    <t>Rahul  Juyal - 2 Yrs</t>
  </si>
  <si>
    <t>Rishav Gupta</t>
  </si>
  <si>
    <t>131 6225 282 400 66391</t>
  </si>
  <si>
    <t>Mohit Kumar</t>
  </si>
  <si>
    <t>131 6225 282 400 68548</t>
  </si>
  <si>
    <t>131 6225 282 400 70766</t>
  </si>
  <si>
    <t>131 6225 231 100 88282</t>
  </si>
  <si>
    <t>20 July '2026</t>
  </si>
  <si>
    <t>Aakash Pandey - Star Client</t>
  </si>
  <si>
    <t>85031123030446 95</t>
  </si>
  <si>
    <t>7 July '2026</t>
  </si>
  <si>
    <t>93881109170662 49</t>
  </si>
  <si>
    <t>Sakshi Dewan - Port</t>
  </si>
  <si>
    <t xml:space="preserve">Sakshi Dewan </t>
  </si>
  <si>
    <t>Nidhi Jolly - Motor</t>
  </si>
  <si>
    <t>Shekhar Kanojia - Motor</t>
  </si>
  <si>
    <t>Archana Bansal</t>
  </si>
  <si>
    <t>17 July '2026</t>
  </si>
  <si>
    <t>23981121050492 34</t>
  </si>
  <si>
    <t>68251121050182 87</t>
  </si>
  <si>
    <t>26 July '2026</t>
  </si>
  <si>
    <t xml:space="preserve">11 July '2026 </t>
  </si>
  <si>
    <t>2805 2035 7183 5605 000 - Optima / WR</t>
  </si>
  <si>
    <t xml:space="preserve">13 July '2026 </t>
  </si>
  <si>
    <t>2856 2066 2939 6501 000 - Secure / UR</t>
  </si>
  <si>
    <t>9 Jul '2028</t>
  </si>
  <si>
    <t>ALKA - 3 Yrs</t>
  </si>
  <si>
    <t xml:space="preserve">Amit Jain - 3 Yrs </t>
  </si>
  <si>
    <t>130 222 428 2400 76318</t>
  </si>
  <si>
    <t>53631123030404 76</t>
  </si>
  <si>
    <t>25 July '2026</t>
  </si>
  <si>
    <t>Ayush Chugh</t>
  </si>
  <si>
    <t>Sakshi Dewan - Fresh</t>
  </si>
  <si>
    <t>Motor</t>
  </si>
  <si>
    <t>15 July '2027</t>
  </si>
  <si>
    <t>2856 2055 5245 2601 000 - Secure / UR</t>
  </si>
  <si>
    <t>12591118042605 62</t>
  </si>
  <si>
    <t>82741117063376 19</t>
  </si>
  <si>
    <t>96221125012922 26</t>
  </si>
  <si>
    <t>18 July '2026</t>
  </si>
  <si>
    <t>85111117090761 44</t>
  </si>
  <si>
    <t>27911110160370 20</t>
  </si>
  <si>
    <t>ROHAN KAPOOR - Abha - EMI Option (Hly)</t>
  </si>
  <si>
    <t>23 July '2026</t>
  </si>
  <si>
    <t>2806 2039 7033 3205 000 - Easy Health Standard</t>
  </si>
  <si>
    <t>2820 2055 5089 4502 000 - P.A</t>
  </si>
  <si>
    <t>Aakash Pandey Star C - Port Our Code Relience</t>
  </si>
  <si>
    <t>MUKESH KUMAR - 2 Yrs</t>
  </si>
  <si>
    <t>STEPHEN PANICKER - 3 Yrs</t>
  </si>
  <si>
    <t>131 622 528 2400 43000</t>
  </si>
  <si>
    <t>131 622 528 2400 46000</t>
  </si>
  <si>
    <t>131 622 528 24003 9000</t>
  </si>
  <si>
    <t>920 222 528 2405 53893</t>
  </si>
  <si>
    <t>131 622 523 1200 42833</t>
  </si>
  <si>
    <t>920 222 528 2405 54609</t>
  </si>
  <si>
    <t>131 622 528 2400 76507</t>
  </si>
  <si>
    <t>131 622 528 2400 72631</t>
  </si>
  <si>
    <t>131 622 528 2400 77188</t>
  </si>
  <si>
    <t>131 622 528 2400 73400</t>
  </si>
  <si>
    <t>KULBHUSHAN</t>
  </si>
  <si>
    <t>28 July '2026</t>
  </si>
  <si>
    <t>2805 2035 8787 6305 000 - Optima</t>
  </si>
  <si>
    <t>80361125012753 59</t>
  </si>
  <si>
    <t>19 Aug '2026</t>
  </si>
  <si>
    <t xml:space="preserve">2805 2042 3100 2304 000 - Optima / WR / </t>
  </si>
  <si>
    <t>Yogesh Kumar - Rewari</t>
  </si>
  <si>
    <t>2856 2047 7511 0002 000 - Secure / UR</t>
  </si>
  <si>
    <t>24 July '2026</t>
  </si>
  <si>
    <t>2805 2035 6880 7205 000 - Optima / UR</t>
  </si>
  <si>
    <t>2814 2055 8159 9102 000 - Enery Silver</t>
  </si>
  <si>
    <t>43581117072449 11</t>
  </si>
  <si>
    <t>59411116102356 44</t>
  </si>
  <si>
    <t>2805 2035 7920 4105 000 - Optima / WB / UR</t>
  </si>
  <si>
    <t>2805 2035 8165 7705 000 - Optima / UR</t>
  </si>
  <si>
    <t>Amrita Singh - Punam Singh</t>
  </si>
  <si>
    <t>7 Aug '2026</t>
  </si>
  <si>
    <t>2805 2036 0996 6305 000 - Optima / UR</t>
  </si>
  <si>
    <t>87861126000892 73</t>
  </si>
  <si>
    <t>14 July '2027</t>
  </si>
  <si>
    <t>BINDU PANDEY - 2 Yrs</t>
  </si>
  <si>
    <t>2856 2066 4173 6000 000 - Secure / UR</t>
  </si>
  <si>
    <t>2805 2036 1839 7304 000 - Optima / WR / UR</t>
  </si>
  <si>
    <t>14 Aug '2026</t>
  </si>
  <si>
    <t>2805 2035 7547 1405 000 - Optima / UR</t>
  </si>
  <si>
    <t>27 Jul '2026</t>
  </si>
  <si>
    <t>RUCHIN THAKUR - 2 Yrs</t>
  </si>
  <si>
    <t>R.A-2.0 - 32664374202401  - Titanium+ SG Plus</t>
  </si>
  <si>
    <t>2805 2036 1357 8405 000 - Optima / WB / UR</t>
  </si>
  <si>
    <t xml:space="preserve">2805 2075 9958 4200 000 - Optima </t>
  </si>
  <si>
    <t>36441110160637 53</t>
  </si>
  <si>
    <t>96001121050030 55</t>
  </si>
  <si>
    <t>RAVINDER KALRA - Surplus</t>
  </si>
  <si>
    <t>18231121032190 80</t>
  </si>
  <si>
    <t>29 July '2026</t>
  </si>
  <si>
    <t>43471119032787 82</t>
  </si>
  <si>
    <t>16 Aug '2026</t>
  </si>
  <si>
    <t>Pradeep Khera, Claim issue</t>
  </si>
  <si>
    <t>2856 2047 7846 3803 000 - Secure / UR</t>
  </si>
  <si>
    <t>2856 2042 3997 9904 000 - Secure</t>
  </si>
  <si>
    <t>8 Aug '2026</t>
  </si>
  <si>
    <t>R.A - 32604908202503 - SG</t>
  </si>
  <si>
    <t xml:space="preserve">2806 2036 1931 0805 000 - Easy Health </t>
  </si>
  <si>
    <t>15 Aug '2026</t>
  </si>
  <si>
    <t>2 Aug '2026</t>
  </si>
  <si>
    <t>2856 2047 7884 6603 000 - Secure / UR</t>
  </si>
  <si>
    <t>1 Aug '2026</t>
  </si>
  <si>
    <t>2856 2042 4433 7404 000 - Secure / UR</t>
  </si>
  <si>
    <t>R.A - 32614186202503 - W.S.G+PA+Gold</t>
  </si>
  <si>
    <t>4 Aug '2026</t>
  </si>
  <si>
    <t>2814 2042 4207 3504 001 - Enery Silver</t>
  </si>
  <si>
    <t>2805 2035 6271 6705 000 - Optima / UR</t>
  </si>
  <si>
    <t xml:space="preserve">NIKUNJ GUPTA </t>
  </si>
  <si>
    <t>Aspire - 32591319202501  - W.SG+</t>
  </si>
  <si>
    <t>R.A - 32619751202503 - W.SG</t>
  </si>
  <si>
    <t>Niraj Tantia</t>
  </si>
  <si>
    <t>2856 2076 4005 9800 000 - Secure / UR</t>
  </si>
  <si>
    <t>Sushil Kumar Agarwal</t>
  </si>
  <si>
    <t>30 Aug '2026</t>
  </si>
  <si>
    <t>2856 2076 4096 6000 000 - Secure</t>
  </si>
  <si>
    <t>2805 2036 0983 0105 000 - Optima / UR</t>
  </si>
  <si>
    <t>Ajay Kumar</t>
  </si>
  <si>
    <t>12 Aug '2026</t>
  </si>
  <si>
    <t>Super Health - POSUHE00100059362</t>
  </si>
  <si>
    <t>22201112140530 48</t>
  </si>
  <si>
    <t>6 Aug '2026</t>
  </si>
  <si>
    <t>37641115072697 18</t>
  </si>
  <si>
    <t>18561124020190 17</t>
  </si>
  <si>
    <t>10 Aug '2026</t>
  </si>
  <si>
    <t>95761125010062 85</t>
  </si>
  <si>
    <t>20011121050295 52</t>
  </si>
  <si>
    <t>23 Aug '2026</t>
  </si>
  <si>
    <t>R.A - 31909405202504</t>
  </si>
  <si>
    <t>21 Aug '2026</t>
  </si>
  <si>
    <t>76921119032101 95</t>
  </si>
  <si>
    <t>Prachi Bathwal - 3 Yrs</t>
  </si>
  <si>
    <t>Isha Bathwal - 3 Yrs</t>
  </si>
  <si>
    <t>2856 2076 4340 7500 002 - Super Secure / UR</t>
  </si>
  <si>
    <t>10 Sep '2028</t>
  </si>
  <si>
    <t>2856 2076 4465 2000 000 - Super Secure / UR</t>
  </si>
  <si>
    <t>3367 2076 4651 6100 000 - Travel</t>
  </si>
  <si>
    <t>Aakriti Singhal - Travel</t>
  </si>
  <si>
    <t>R.A - 2.0 - 33345698202502 - Titanium+ SG+</t>
  </si>
  <si>
    <t>H.R - 33345754202502</t>
  </si>
  <si>
    <t>Monthly</t>
  </si>
  <si>
    <t>2806 2035 7402 8305 000 - Easy Health / WR</t>
  </si>
  <si>
    <t>2856 2067 4244 4801 000 - Secure / UR</t>
  </si>
  <si>
    <t>1 Jul '2026</t>
  </si>
  <si>
    <t>Shefali Chopra</t>
  </si>
  <si>
    <t>131 622 528 2400 81036</t>
  </si>
  <si>
    <t>Geeta</t>
  </si>
  <si>
    <t>132 622 528 2400 82137</t>
  </si>
  <si>
    <t>Lakshay Rohilla</t>
  </si>
  <si>
    <t>131 622 523 1101 23719</t>
  </si>
  <si>
    <t>920 222 528 2408 22399</t>
  </si>
  <si>
    <t>920 222 528 2408 22402</t>
  </si>
  <si>
    <t>2805 2035 8005 5403 000 - Optima / UR</t>
  </si>
  <si>
    <t>26 Aug '2027</t>
  </si>
  <si>
    <t>89001121050224 32</t>
  </si>
  <si>
    <t>Deepak Mishra - S.A, No Response</t>
  </si>
  <si>
    <t>Deepa</t>
  </si>
  <si>
    <t>131 622 528 2400 90103</t>
  </si>
  <si>
    <t>97301117072856 53</t>
  </si>
  <si>
    <t>26 Aug '2026</t>
  </si>
  <si>
    <t>25 Aug '2026</t>
  </si>
  <si>
    <t>R.A - 32650941202503 - Titanium+ SG+</t>
  </si>
  <si>
    <t>H.R - 32657642202503</t>
  </si>
  <si>
    <t>10 L - Dedut. 90 L</t>
  </si>
  <si>
    <t>Ritika Jain</t>
  </si>
  <si>
    <t>Laxman Singh - Fresh (21.08.2025)</t>
  </si>
  <si>
    <t>High Premium</t>
  </si>
  <si>
    <t xml:space="preserve">                                     Total</t>
  </si>
  <si>
    <t>54851119070600 42</t>
  </si>
  <si>
    <t>2805 2035 0564 8305 000 - Optima / WR / H.Cash</t>
  </si>
  <si>
    <t>DL 14 CE 9683</t>
  </si>
  <si>
    <t>14.08.2026</t>
  </si>
  <si>
    <t>MANOJ KUMAR GUPTA - 3 Yrs</t>
  </si>
  <si>
    <t>Ronak</t>
  </si>
  <si>
    <t>14 Sep '2028</t>
  </si>
  <si>
    <t>2856 2048 2608 2601 000 - Super Secure / UR</t>
  </si>
  <si>
    <t>2805 2035 7618 3205 000 - Optima / UR</t>
  </si>
  <si>
    <t xml:space="preserve">2856 2048 8179 6703 000 - Secure </t>
  </si>
  <si>
    <t>2856 2056 4818 9902 000 - Secure / UR</t>
  </si>
  <si>
    <t>Munish Kumar Gupta - P.A</t>
  </si>
  <si>
    <t>3317 2076 6855 1400 000 - Health Koti Suraksha</t>
  </si>
  <si>
    <t>24 Aug '2026</t>
  </si>
  <si>
    <t>9 Sep '2026</t>
  </si>
  <si>
    <t>2856 2076 6380 3200 000 - Secure / UR</t>
  </si>
  <si>
    <t>2805 2066 7359 5801 000 - Optima / WR / UR</t>
  </si>
  <si>
    <t>Suraj Batra</t>
  </si>
  <si>
    <t>76111118080785 23</t>
  </si>
  <si>
    <t>29 Aug '2026</t>
  </si>
  <si>
    <t>20771125012247 24</t>
  </si>
  <si>
    <t>27761125010566 83</t>
  </si>
  <si>
    <t>21 Sep '2026</t>
  </si>
  <si>
    <t>2805 2076 7682 2800 000 - Optima / WR / UR</t>
  </si>
  <si>
    <t>2805 2035 7197 6805 000 - Optima</t>
  </si>
  <si>
    <t>8800867262 Port other Niva For 3 yrs</t>
  </si>
  <si>
    <t xml:space="preserve">10L - 25K </t>
  </si>
  <si>
    <t xml:space="preserve">15 L - 25 K </t>
  </si>
  <si>
    <t>1  Sep '2026</t>
  </si>
  <si>
    <t>131 622 528 2400 93774</t>
  </si>
  <si>
    <t>Bhushan Bhardwaj</t>
  </si>
  <si>
    <t>Dinesh Kumar</t>
  </si>
  <si>
    <t>Aarthi Tiwari</t>
  </si>
  <si>
    <t>Annual</t>
  </si>
  <si>
    <t>P.G</t>
  </si>
  <si>
    <t>S.G</t>
  </si>
  <si>
    <t>D.O - Rahul - LIC, No Cash</t>
  </si>
  <si>
    <t>A.O</t>
  </si>
  <si>
    <t>V.G</t>
  </si>
  <si>
    <t>2805 2036 4081 1905 000 - Optima / WR / UR</t>
  </si>
  <si>
    <t>Sumit Shukla - Port - Aug '2025</t>
  </si>
  <si>
    <t>23181123030899 79</t>
  </si>
  <si>
    <t xml:space="preserve">10 L - 50 K </t>
  </si>
  <si>
    <t xml:space="preserve">10 L - 1 L </t>
  </si>
  <si>
    <t>24 Sep '2028</t>
  </si>
  <si>
    <t>2856 2048 3661 4201 000 - Super Secure / UR</t>
  </si>
  <si>
    <t>Aman Bathwal - 3 Yrs</t>
  </si>
  <si>
    <t>2856 2076 8151 6300 000 - Super Secure / UR</t>
  </si>
  <si>
    <t>8 Sep '2026</t>
  </si>
  <si>
    <t>47541111150115 49</t>
  </si>
  <si>
    <t>2805 2036 3803 9905 000 - Optima / UR</t>
  </si>
  <si>
    <t>2805 2076 7515 8100 002 - Optima / WR</t>
  </si>
  <si>
    <t>Radhey Shyam Gupta</t>
  </si>
  <si>
    <t>2856 2076 8757 8200 000 - Secure / UR</t>
  </si>
  <si>
    <t xml:space="preserve">15 L - 50 K </t>
  </si>
  <si>
    <t>5 Sep '2026</t>
  </si>
  <si>
    <t>130 222 428 2400 73293</t>
  </si>
  <si>
    <t>130 222 428 2400 81628</t>
  </si>
  <si>
    <t>130 222 428 2400 80883</t>
  </si>
  <si>
    <t>130 222 428 2400 82392</t>
  </si>
  <si>
    <t>130 222 428 2400 90005</t>
  </si>
  <si>
    <t>130 222 428 2401 14019</t>
  </si>
  <si>
    <t>KANEHYA - 3 Yrs</t>
  </si>
  <si>
    <t>9 Sep '2028</t>
  </si>
  <si>
    <t>R.A 2.0 - 32688501202503  - (W.SG+)</t>
  </si>
  <si>
    <t>R.A-2.0 - 32563324202503 - Bronze+ / SG+</t>
  </si>
  <si>
    <t>Aspire - 32537310202503 - Gold+SG+</t>
  </si>
  <si>
    <t>Aspire - 35434891202500 - Gold+ / SG+</t>
  </si>
  <si>
    <t>Aspire - 36899118202500 - Gold+ / SG+</t>
  </si>
  <si>
    <t xml:space="preserve">Sanjay Sachdeva  </t>
  </si>
  <si>
    <t>2805 2036 4111 5203 000 - Optima / WR / UR</t>
  </si>
  <si>
    <t>7 Sep '2028</t>
  </si>
  <si>
    <t>2856 2076 9113 2900 000 - Super Secure / UR</t>
  </si>
  <si>
    <t>Dharmender Prasad Jain - 3 Yrs</t>
  </si>
  <si>
    <t>Tushar Singh Rauthan</t>
  </si>
  <si>
    <t>18 Oct '2026</t>
  </si>
  <si>
    <t>15 L - 25 K</t>
  </si>
  <si>
    <t>2856 2076 9029 9500 000 - Secure / UR</t>
  </si>
  <si>
    <t>2856 2076 9007 9600 000 - Secure / UR</t>
  </si>
  <si>
    <t>Sunita Rauthan</t>
  </si>
  <si>
    <t>7 Sep '2027</t>
  </si>
  <si>
    <t>2805 2036 3908 9103 000 - Optima / UR</t>
  </si>
  <si>
    <t>2805 2036 4663 0905 000 - Optima / UR</t>
  </si>
  <si>
    <t>7 Sep '2026</t>
  </si>
  <si>
    <t>2856 2048 1233 8703 000 - Secure / UR</t>
  </si>
  <si>
    <t>13 Sep '2026</t>
  </si>
  <si>
    <t>2856 2048 9106 1801 000 - Secure / UR</t>
  </si>
  <si>
    <t>94721125012812 69</t>
  </si>
  <si>
    <t>16 Sep '2026</t>
  </si>
  <si>
    <t>44231125012608 09</t>
  </si>
  <si>
    <t>Deepak Mishra - No Response</t>
  </si>
  <si>
    <t>Vishal Anand, No Response</t>
  </si>
  <si>
    <t>Manish Deewan</t>
  </si>
  <si>
    <t>25 L - Dedt. 10 L</t>
  </si>
  <si>
    <t>Death (Proposer)</t>
  </si>
  <si>
    <t>K,K Arora</t>
  </si>
  <si>
    <t>Not Our Code</t>
  </si>
  <si>
    <t>P.A Policy</t>
  </si>
  <si>
    <t>10 L - 25 K</t>
  </si>
  <si>
    <t>5 L Doller</t>
  </si>
  <si>
    <t>2805 2036 4318 4703 000 - Optima / WR / UR</t>
  </si>
  <si>
    <t>Kaushik Bajpai</t>
  </si>
  <si>
    <t>14 Sep '2026</t>
  </si>
  <si>
    <t>2856 2077 0925 3900 000  - Secure / UR</t>
  </si>
  <si>
    <t>2820 2038 8759 7205 000</t>
  </si>
  <si>
    <t>R.A - 32681328202503 - SG+</t>
  </si>
  <si>
    <t>1 Lakh (USD)</t>
  </si>
  <si>
    <t>Ankit Jain - Geeta Colony</t>
  </si>
  <si>
    <t>2856 2077 2344 0900 000 - Secure / UR</t>
  </si>
  <si>
    <t>18 Sep '2026</t>
  </si>
  <si>
    <t>25 L - 25 K</t>
  </si>
  <si>
    <t>95991 61718</t>
  </si>
  <si>
    <t>Ankit Jain - K. Nagr - 2 Yrs</t>
  </si>
  <si>
    <t>2820 2036 9399 3405 000 - P.A</t>
  </si>
  <si>
    <t>19 Sep '2026</t>
  </si>
  <si>
    <t xml:space="preserve">R.A 2.0 - 32707355202503 - Titanium+ </t>
  </si>
  <si>
    <t>18 Aug '2026</t>
  </si>
  <si>
    <t>H.R - 31907509202504</t>
  </si>
  <si>
    <t>55841122010588 06</t>
  </si>
  <si>
    <t>11 Sep '2027</t>
  </si>
  <si>
    <t>Sandeep Kumar Gupta - 3 Yrs - Bareilly</t>
  </si>
  <si>
    <t>R.A 2.0 - 31965356202504 - Bronze+ / SG+</t>
  </si>
  <si>
    <t>22 Sep '2026</t>
  </si>
  <si>
    <t>2805 2042 9977 8504 000 - Optima / WR / UR</t>
  </si>
  <si>
    <t>30 Sep '2026</t>
  </si>
  <si>
    <t>2805 2036 4516 5305 000 - Optima / WR / UR</t>
  </si>
  <si>
    <t>Muskan Bhardwaj</t>
  </si>
  <si>
    <t>28 Sep '2026</t>
  </si>
  <si>
    <t>2800 0000 0640 5600 000 - Secure / UR</t>
  </si>
  <si>
    <t>Inderjeet Singh</t>
  </si>
  <si>
    <t>2800 0000 0640 5000 000 - Secure / UR</t>
  </si>
  <si>
    <t>Rakesh Bhardwaj</t>
  </si>
  <si>
    <t>2805 2037 1756 4105 000 - Optima / UR</t>
  </si>
  <si>
    <t>2820 2036 8943 5005 000</t>
  </si>
  <si>
    <t>2856 2077 3685 8100 001 - Secure / UR</t>
  </si>
  <si>
    <t>2856 2077 3527 4500 002 - Secure / UR</t>
  </si>
  <si>
    <t>2856 2067 9309 8100 000 - Secure / UR</t>
  </si>
  <si>
    <t>2805 2036 4488 1905 000 - Optima / UR</t>
  </si>
  <si>
    <t>2 Oct '2026</t>
  </si>
  <si>
    <t xml:space="preserve">2805 2037 2163 5205 000 - Optima </t>
  </si>
  <si>
    <t>Senior First - 33472027202502</t>
  </si>
  <si>
    <t>3 Oct '2026</t>
  </si>
  <si>
    <t>AAYUSH GUPTA</t>
  </si>
  <si>
    <t>P.A - 34838749202500</t>
  </si>
  <si>
    <t>6 Lakh</t>
  </si>
  <si>
    <t>AAYUSH GUPTA - P.A</t>
  </si>
  <si>
    <t>28 Sep '2027</t>
  </si>
  <si>
    <t>25 Sep '2026</t>
  </si>
  <si>
    <t>2805 2035 8334 5505 000 - Optima / UR</t>
  </si>
  <si>
    <t>R.A 2.0 - 32681760202503 - SG+ DM Platinum</t>
  </si>
  <si>
    <t xml:space="preserve">Aspire - 34318964202501 - Gold+ </t>
  </si>
  <si>
    <t>H.Companion - 31952920202502</t>
  </si>
  <si>
    <t xml:space="preserve">DR. RAJKUMAR VARMA </t>
  </si>
  <si>
    <t>R.A - 31961478202504  - SG+</t>
  </si>
  <si>
    <t>4 Oct '2027</t>
  </si>
  <si>
    <t>ANJU PATHAK - 2 Yrs</t>
  </si>
  <si>
    <t>R.A 2.0 - 31984214202504 - Bronze+ SG+</t>
  </si>
  <si>
    <t>Rjeev Mishra</t>
  </si>
  <si>
    <t>29 Oct '2025</t>
  </si>
  <si>
    <t>2 L USD</t>
  </si>
  <si>
    <t>Travel - 3367 2077 5715 8500 000</t>
  </si>
  <si>
    <t>Ketanav Kaushal - Travel</t>
  </si>
  <si>
    <t>Ashutosh Vashistha - 2 Yrs</t>
  </si>
  <si>
    <t>29 Sep '2027</t>
  </si>
  <si>
    <t>2856 2057 0560 6002 000 - Secure / UR</t>
  </si>
  <si>
    <t>27 Sep '2026</t>
  </si>
  <si>
    <t>2805 2037 2452 7205 000 - Optima / UR</t>
  </si>
  <si>
    <t>2805 2035 6635 9205 000 - Optima / UR</t>
  </si>
  <si>
    <t>2805 2037 2424 2505 000 - Optima / UR</t>
  </si>
  <si>
    <t>Simran Solanki</t>
  </si>
  <si>
    <t>2856 2077 5413 6900 000 - Secure / UR</t>
  </si>
  <si>
    <t>2805 2039 5781 0103 000 - Optima / WB</t>
  </si>
  <si>
    <t>2814 2048 8557 4903 000 - Energy Silver</t>
  </si>
  <si>
    <t>2805 2039 5775 0603 000 - Optima / WB / WR / UR</t>
  </si>
  <si>
    <t>11 Oct '2026</t>
  </si>
  <si>
    <t>2856 2049 5352 7003 000 - Secure / UR</t>
  </si>
  <si>
    <t>2856 2058 1898 4302 000 - Secure / UR</t>
  </si>
  <si>
    <t>R.A - 32663268202503 - (W.SG)</t>
  </si>
  <si>
    <t>R.A - 32657320202503 - W.SG+</t>
  </si>
  <si>
    <t>R.A - 32656734202503 - W.SG+</t>
  </si>
  <si>
    <t>RA - 2.0 - 32727645202503 - Bronze+ SG+</t>
  </si>
  <si>
    <t>6 Oct '2026</t>
  </si>
  <si>
    <t>RAVINDER KUMAR</t>
  </si>
  <si>
    <t>Aspire - 362636092025 00 - Gold +</t>
  </si>
  <si>
    <t>Mamta</t>
  </si>
  <si>
    <t>131 622 528 2400 99986</t>
  </si>
  <si>
    <t>54441119072150 99</t>
  </si>
  <si>
    <t>4 Oct '2026</t>
  </si>
  <si>
    <t>33431118042034 28</t>
  </si>
  <si>
    <t>8 Oct '2026</t>
  </si>
  <si>
    <t>14311124020051 80</t>
  </si>
  <si>
    <t>59771122030512 73</t>
  </si>
  <si>
    <t>86571121050262 52</t>
  </si>
  <si>
    <t>23 Sep '2026</t>
  </si>
  <si>
    <t>758711170913 4299</t>
  </si>
  <si>
    <t>385011170950 8199</t>
  </si>
  <si>
    <t>131 622 528 2401 05185</t>
  </si>
  <si>
    <t>23 Oct '2026</t>
  </si>
  <si>
    <t>2805 2038 7777 9204 000 - Optima/UR/WR/WB</t>
  </si>
  <si>
    <t>Amit Chitkara</t>
  </si>
  <si>
    <t>12 Oct '2026</t>
  </si>
  <si>
    <t>2856 2077 7137 9500 000 - Secure / UR</t>
  </si>
  <si>
    <t>30 Sep '2028</t>
  </si>
  <si>
    <t>2856 2077 4443 3200 000 - Secure / UR</t>
  </si>
  <si>
    <t>Manoj Kumar Gupta - 3 Yrs</t>
  </si>
  <si>
    <t>Mukesh</t>
  </si>
  <si>
    <t>Mukul-Rajesh Vats</t>
  </si>
  <si>
    <t>Rahul Arora</t>
  </si>
  <si>
    <t>Himansh Prasad Kala</t>
  </si>
  <si>
    <t>Gurpreet Singh Malhotra</t>
  </si>
  <si>
    <t>SM Code - Mohanlal/Ravi, Port Other</t>
  </si>
  <si>
    <t>NO CASH</t>
  </si>
  <si>
    <t>Sumit Shukla, Port Other Code - 9999137217</t>
  </si>
  <si>
    <t>Laxman Singh</t>
  </si>
  <si>
    <t>20 L - 25 K</t>
  </si>
  <si>
    <t>2856 2077 7420 3900 000 - Secure / UR</t>
  </si>
  <si>
    <t>2856 2077 7288 2200 000 - Secure / UR</t>
  </si>
  <si>
    <t>27 Oct '2026</t>
  </si>
  <si>
    <t>2805 2038 1864 4005 000 - Optima / UR</t>
  </si>
  <si>
    <t>2805 2043 3249 7804 000 - Restore / WR / UR</t>
  </si>
  <si>
    <t>5 Oct '2026</t>
  </si>
  <si>
    <t>2856 2077 7646 4900 000 - Secure / UR</t>
  </si>
  <si>
    <t>Arogya Plus - 0000000043675849</t>
  </si>
  <si>
    <t>2805 2038 7655 4905 000 - Optima / UR</t>
  </si>
  <si>
    <t>16 Oct '2026</t>
  </si>
  <si>
    <t>DWARIKA PRASAD</t>
  </si>
  <si>
    <t>13 Oct '2026</t>
  </si>
  <si>
    <t>2856 2077 8593 4200 000 - Secure / UR</t>
  </si>
  <si>
    <t>9 Oct '2026</t>
  </si>
  <si>
    <t>10 Oct '2028</t>
  </si>
  <si>
    <t>Nagesh Bhatt - 3 Yrs</t>
  </si>
  <si>
    <t>2856 2077 9397 1400 000 - Super Secure / UR</t>
  </si>
  <si>
    <t>Portt Our Code Ergo</t>
  </si>
  <si>
    <t>R.A 2.0 - 32719285202501 - Bronze+ SG+</t>
  </si>
  <si>
    <t>3 Oct '2028</t>
  </si>
  <si>
    <t>Aspire - 34784853202500 - Gold+</t>
  </si>
  <si>
    <t>10 lakh</t>
  </si>
  <si>
    <t>Amit Goel</t>
  </si>
  <si>
    <t>17 Oct '2026</t>
  </si>
  <si>
    <t>2856 2077 9934 6800 000 - Secure / UR</t>
  </si>
  <si>
    <t>P.G, Port Our Code Ergo</t>
  </si>
  <si>
    <t>Rajesh Arora</t>
  </si>
  <si>
    <t>Sumit Goel</t>
  </si>
  <si>
    <t>2856 2078 0381 3700 000 - Secure / UR</t>
  </si>
  <si>
    <t>R.A - 2.0 - 33492371202502 - Bronze+</t>
  </si>
  <si>
    <t>14 Oct '2026</t>
  </si>
  <si>
    <t>131 622 528 2401 06356</t>
  </si>
  <si>
    <t>62361125012999 53</t>
  </si>
  <si>
    <t>51801116100608 91</t>
  </si>
  <si>
    <t>44511119070109 29</t>
  </si>
  <si>
    <t>2805 2038 0235 1005 000 - Optima / UR</t>
  </si>
  <si>
    <t>2800 0000 0866 3300 000 - Super Secure / UR</t>
  </si>
  <si>
    <t>8 Oct '2028</t>
  </si>
  <si>
    <t>19 Oct '2026</t>
  </si>
  <si>
    <t>2805 2038 7711 0205 000 - Optima / UR</t>
  </si>
  <si>
    <t>Sapna Mamtani - Sarswati - 3 Yrs</t>
  </si>
  <si>
    <t>2805 2037 1898 4405 000 - Optima/WR/UR</t>
  </si>
  <si>
    <t>2805 2038 1699 0605 000 - Optima/WR/UR</t>
  </si>
  <si>
    <t>2805 2038 2408 7105 000 - Optima / WR / UR</t>
  </si>
  <si>
    <t>P.A - 33547937202502</t>
  </si>
  <si>
    <t>13 Nov '2026</t>
  </si>
  <si>
    <t>30491122032659 12</t>
  </si>
  <si>
    <t xml:space="preserve">S.B.I  General </t>
  </si>
  <si>
    <t>10 Sep '2026</t>
  </si>
  <si>
    <t>12 Sep '2026</t>
  </si>
  <si>
    <t>9 Apr '2026</t>
  </si>
  <si>
    <t>5 Mar '2026</t>
  </si>
  <si>
    <t xml:space="preserve">                                                                                             HDFC Life</t>
  </si>
  <si>
    <t>Single - Yearly</t>
  </si>
  <si>
    <t xml:space="preserve">                                                                                   Total</t>
  </si>
  <si>
    <t>Rajesh Sawhney, Port Our Code Star</t>
  </si>
  <si>
    <t>Amar Dev Pokhriya</t>
  </si>
  <si>
    <t>19.10.2026</t>
  </si>
  <si>
    <t>DL 02 SQ 4737</t>
  </si>
  <si>
    <t>18.10.2026</t>
  </si>
  <si>
    <t>620 483 7346 00 00</t>
  </si>
  <si>
    <t>Arun Gupta, Jhony Tranfer Scoooty</t>
  </si>
  <si>
    <t>Sanjeev Sharma</t>
  </si>
  <si>
    <t>16 Nov '2025</t>
  </si>
  <si>
    <t>3367 2078 3793 9500 000</t>
  </si>
  <si>
    <t>5 L - USD</t>
  </si>
  <si>
    <t>SIDDHARTH CHAUDHARY - Sunita Chaudhary</t>
  </si>
  <si>
    <t>28 Oct '2026</t>
  </si>
  <si>
    <t>5 Nov '2026</t>
  </si>
  <si>
    <t>2856 2078 0323 5800 000 - Secure / UR</t>
  </si>
  <si>
    <t>Saly Joseph</t>
  </si>
  <si>
    <t>131 622 528 2401 08580</t>
  </si>
  <si>
    <t>Kamal Kathria</t>
  </si>
  <si>
    <t>R.A-2.0 - 32827213202503 - Bronze+ SG+</t>
  </si>
  <si>
    <t>R.A - 2.0 - 34441707202501 - Titanium+ SG+</t>
  </si>
  <si>
    <t>Port Other Code Ergo (Son Aman Still Niva)</t>
  </si>
  <si>
    <t>22 Oct '2026</t>
  </si>
  <si>
    <t>AMAN GOYAL</t>
  </si>
  <si>
    <t>R.A - 2.0 - 35793700202500 - Bronze+</t>
  </si>
  <si>
    <t>R.A - 2.0 - 31441027202505 - Bronze+ SG+</t>
  </si>
  <si>
    <t>14 Nov '2026</t>
  </si>
  <si>
    <t>JYOTSNA KAPOOR - Sharad Kapoor</t>
  </si>
  <si>
    <t>30 Oct '2026</t>
  </si>
  <si>
    <t>25731122030290 28</t>
  </si>
  <si>
    <t>39531119052216 80</t>
  </si>
  <si>
    <t>25 Oct '2026</t>
  </si>
  <si>
    <t>3367 2078 5905 0700 000 - Travel</t>
  </si>
  <si>
    <t>Nitin Bhola - Travel</t>
  </si>
  <si>
    <t>1 L - USD</t>
  </si>
  <si>
    <t>Vijay Chadha</t>
  </si>
  <si>
    <t>29 Nov '2026</t>
  </si>
  <si>
    <t>2856 2078 6601 1900 000 - Secure / UR</t>
  </si>
  <si>
    <t>H.R - 32034293202504</t>
  </si>
  <si>
    <t>10 Nov '2026</t>
  </si>
  <si>
    <t>33051123030760 45</t>
  </si>
  <si>
    <t>1 Nov '2026</t>
  </si>
  <si>
    <t>2806 2068 3104 6101 002 - Easy Health</t>
  </si>
  <si>
    <t>Port Our Code Niva Bupa</t>
  </si>
  <si>
    <t>92961115072365 05</t>
  </si>
  <si>
    <t>6 Nov '2026</t>
  </si>
  <si>
    <t>4 Nov '2026</t>
  </si>
  <si>
    <t>R.A - 32811916202503 - SG / P.A</t>
  </si>
  <si>
    <t>H.R - 32812410202503</t>
  </si>
  <si>
    <t>3 Nov '2026</t>
  </si>
  <si>
    <t>2813 2037 2423 9305 000 - i Can</t>
  </si>
  <si>
    <t>3367 2077 1141 2700 000 - Travel</t>
  </si>
  <si>
    <t>Farzana Ranjan - Travel</t>
  </si>
  <si>
    <t>Bharat Sanghavi Port Other Ergo Bharat ji code</t>
  </si>
  <si>
    <t>43197/-</t>
  </si>
  <si>
    <t>15.11.2026</t>
  </si>
  <si>
    <t>DL 7C V 9221</t>
  </si>
  <si>
    <t>131 622 528 2401 13452</t>
  </si>
  <si>
    <t>Chandu Devi</t>
  </si>
  <si>
    <t>131 622 528 2401 08223</t>
  </si>
  <si>
    <t>Anita Garg</t>
  </si>
  <si>
    <t>131 622 528 2401 12087</t>
  </si>
  <si>
    <t>Sakshi Dewan  - Fresh</t>
  </si>
  <si>
    <t>Rambest Rai</t>
  </si>
  <si>
    <t>131 622 528 2401 11576</t>
  </si>
  <si>
    <t>131 622 528 2401 11978</t>
  </si>
  <si>
    <t>Vikram Saini - 3 Yrs</t>
  </si>
  <si>
    <t>131 622 529 1300 03695</t>
  </si>
  <si>
    <t>Kanika Dewan - P.A</t>
  </si>
  <si>
    <t>Rakesh Chugh - P.A</t>
  </si>
  <si>
    <t>131 622 529 1300 03698</t>
  </si>
  <si>
    <t>Annu Chugh - P.A</t>
  </si>
  <si>
    <t>131 622 529 1300 03715</t>
  </si>
  <si>
    <t>Paras Kumrah</t>
  </si>
  <si>
    <t>131 622 529 1300 03734</t>
  </si>
  <si>
    <t>R.A - 31394384202505</t>
  </si>
  <si>
    <t>AARTI - SARVESH KUMAR - Rewari</t>
  </si>
  <si>
    <t>2805 2035 0146 5506 000 - Optima - UR /WB</t>
  </si>
  <si>
    <t>12 Nov '2027</t>
  </si>
  <si>
    <t>Shivam Narang - 2 Yrs</t>
  </si>
  <si>
    <t>2805 2035 0007 2606 000 - Optima - UR/WB</t>
  </si>
  <si>
    <t>Rajeev Mishra</t>
  </si>
  <si>
    <t>GOVIND VERMA</t>
  </si>
  <si>
    <t>Yash - Hdfc Life</t>
  </si>
  <si>
    <t>2805 2035 0194 6305 000 - UR</t>
  </si>
  <si>
    <t>131 622 528 2401 15087 - UR</t>
  </si>
  <si>
    <t>22.03.2026</t>
  </si>
  <si>
    <t>16.04.2026</t>
  </si>
  <si>
    <t>03.05.2026</t>
  </si>
  <si>
    <t>20.05.2027</t>
  </si>
  <si>
    <t>29.05.2026</t>
  </si>
  <si>
    <t>01.06.2026</t>
  </si>
  <si>
    <t>03.06.2026</t>
  </si>
  <si>
    <t>04.06.2026</t>
  </si>
  <si>
    <t>05.06.2026</t>
  </si>
  <si>
    <t>09.06.2026</t>
  </si>
  <si>
    <t>14.06.2026</t>
  </si>
  <si>
    <t>21.06.2026</t>
  </si>
  <si>
    <t>27.06.2026</t>
  </si>
  <si>
    <t>27.06.2027</t>
  </si>
  <si>
    <t>30.06.2026</t>
  </si>
  <si>
    <t>12.07.2026</t>
  </si>
  <si>
    <t>05.07.2026</t>
  </si>
  <si>
    <t>16.07.2026</t>
  </si>
  <si>
    <t>20.07.2026</t>
  </si>
  <si>
    <t>21.07.2026</t>
  </si>
  <si>
    <t>22.07.2026</t>
  </si>
  <si>
    <t>27.07.2026</t>
  </si>
  <si>
    <t>29.07.2026</t>
  </si>
  <si>
    <t>02.08.2026</t>
  </si>
  <si>
    <t>20.08.2026</t>
  </si>
  <si>
    <t>16.08.2026</t>
  </si>
  <si>
    <t>20.08.2027</t>
  </si>
  <si>
    <t>29.08.2026</t>
  </si>
  <si>
    <t>04.09.2025</t>
  </si>
  <si>
    <t>05.09.2025</t>
  </si>
  <si>
    <t>22.09.2026</t>
  </si>
  <si>
    <t>24.09.2026</t>
  </si>
  <si>
    <t>27.09.2026</t>
  </si>
  <si>
    <t>29.09.2026</t>
  </si>
  <si>
    <t>04.10.2026</t>
  </si>
  <si>
    <t>04.11.2026</t>
  </si>
  <si>
    <t>13.10.2026</t>
  </si>
  <si>
    <t>24.10.2026</t>
  </si>
  <si>
    <t>29.10.2026</t>
  </si>
  <si>
    <t>26.10.2026</t>
  </si>
  <si>
    <t>27.10.2026</t>
  </si>
  <si>
    <t>31.10.2026</t>
  </si>
  <si>
    <t>30.10.2026</t>
  </si>
  <si>
    <t>30.10.2028</t>
  </si>
  <si>
    <t>18.11.2026</t>
  </si>
  <si>
    <t xml:space="preserve">February </t>
  </si>
  <si>
    <t xml:space="preserve">25 L - 1 L </t>
  </si>
  <si>
    <t>10 L - 10 K</t>
  </si>
  <si>
    <t>2805 2036 4077 2603 000 - Optima - WR/UR</t>
  </si>
  <si>
    <t>13 Nov '2027</t>
  </si>
  <si>
    <t>Sameer Bhatnagar - 2 Yrs</t>
  </si>
  <si>
    <t>89741120042459 14</t>
  </si>
  <si>
    <t>15 Nov '2026</t>
  </si>
  <si>
    <t>66671117052594 78</t>
  </si>
  <si>
    <t>18 Nov '2026</t>
  </si>
  <si>
    <t>Pradeep Gupta - Port Own Code SBI</t>
  </si>
  <si>
    <t>23 Nov '2026</t>
  </si>
  <si>
    <t>2856 2058 5757 3002 000 - Secure / UR</t>
  </si>
  <si>
    <t>19 Nov '2026</t>
  </si>
  <si>
    <t>Mehul Suri</t>
  </si>
  <si>
    <t>R.A - 2.0 - 36554884202500 - Bronze+SG+ / PA</t>
  </si>
  <si>
    <t>R.A-2.0 - 32842831202503 - Platinium+ SG+</t>
  </si>
  <si>
    <t xml:space="preserve">R.A-2.0 - 31474924202404 - Titanium+ SG+ </t>
  </si>
  <si>
    <t>17 Nov '2026</t>
  </si>
  <si>
    <t>2804 2039 4095 1405 000 - Optima Senior</t>
  </si>
  <si>
    <t xml:space="preserve">Manjeet Singh </t>
  </si>
  <si>
    <t>2856 2058 8789 3901 000 - Secure / UR</t>
  </si>
  <si>
    <t>10 L - 25K</t>
  </si>
  <si>
    <t>14 Dec '2026</t>
  </si>
  <si>
    <t>2805 2035 4117 7306 000 - Optima - WR/UR</t>
  </si>
  <si>
    <t>2805 2035 0356 0206 000 - Optima Restore - UR</t>
  </si>
  <si>
    <t>2805 2036 5078 3703 000 - W.R/UR</t>
  </si>
  <si>
    <t>17 Nov '2027</t>
  </si>
  <si>
    <t>2856 2079 0128 8300 001 - Secure / UR</t>
  </si>
  <si>
    <t>Arogya Plus - 0000000043902604</t>
  </si>
  <si>
    <t>81471625010953 05</t>
  </si>
  <si>
    <t>8 Nov '2026</t>
  </si>
  <si>
    <t>33421119032982 86</t>
  </si>
  <si>
    <t>16 Nov '2026</t>
  </si>
  <si>
    <t>97201111150328 98</t>
  </si>
  <si>
    <t>65961125010496 25</t>
  </si>
  <si>
    <t>17461120060048 12</t>
  </si>
  <si>
    <t>28 Nov '2026</t>
  </si>
  <si>
    <t>62221116062677 96</t>
  </si>
  <si>
    <t>08 Dec '2026</t>
  </si>
  <si>
    <t>18 Nov '2028</t>
  </si>
  <si>
    <t>2800 0000 1187 0200 000 - Super Secure / UR</t>
  </si>
  <si>
    <t>Giriraj Chauhan - 3 Yrs</t>
  </si>
  <si>
    <t>Umesh Kumar Gupta</t>
  </si>
  <si>
    <t>17.11.2026</t>
  </si>
  <si>
    <t>DL 3C CX 2235</t>
  </si>
  <si>
    <t xml:space="preserve">R.A-2.0 - 32082899202504 - Titanium+ SG+ </t>
  </si>
  <si>
    <t>07.11.2026</t>
  </si>
  <si>
    <t>131 622 523 11018 7000</t>
  </si>
  <si>
    <t>Deepak Bansal - Car Ins.</t>
  </si>
  <si>
    <t>Nov</t>
  </si>
  <si>
    <t>Pooja Gupta</t>
  </si>
  <si>
    <t>Fresh - P.A</t>
  </si>
  <si>
    <t>Janit Dewan</t>
  </si>
  <si>
    <t>Fresh - V</t>
  </si>
  <si>
    <t>Gaurav Gupta</t>
  </si>
  <si>
    <t>Fresh - Hospicare Plan</t>
  </si>
  <si>
    <t xml:space="preserve">Nov </t>
  </si>
  <si>
    <t>Fresh -</t>
  </si>
  <si>
    <t xml:space="preserve">Fresh -   </t>
  </si>
  <si>
    <t>11.11.2026</t>
  </si>
  <si>
    <t>9 Nov '2026</t>
  </si>
  <si>
    <t>Mukesh Kumar - Lakshmi Devi</t>
  </si>
  <si>
    <t>2856 2079 1736 4800 000 - Secure / UR</t>
  </si>
  <si>
    <t>20 Nov '2028</t>
  </si>
  <si>
    <t>Vaibhav Mohan - 3 Yrs</t>
  </si>
  <si>
    <t>2800 0000 1208 890 0000 - Super Secure / UR</t>
  </si>
  <si>
    <t>25 Nov '2027</t>
  </si>
  <si>
    <t>2856 2079 1680 0500 000 - Secure / UR</t>
  </si>
  <si>
    <t>20 Nov '2027</t>
  </si>
  <si>
    <t>2805 2036 5021 9703 000 - Restore / UR / WR</t>
  </si>
  <si>
    <t>Nitin Gupta - 2 Yrs</t>
  </si>
  <si>
    <t>Jyoti - 3 Yrs</t>
  </si>
  <si>
    <t>5 L - 25K</t>
  </si>
  <si>
    <t>5 L - 1 lakh</t>
  </si>
  <si>
    <t>32491111151337 77</t>
  </si>
  <si>
    <t>25 Nov '2026</t>
  </si>
  <si>
    <t>46841111151036 61</t>
  </si>
  <si>
    <t>30 Nov '2026</t>
  </si>
  <si>
    <t>2 Dec '2026</t>
  </si>
  <si>
    <t>2856 2050 7575 2003 000 - Secure - UR</t>
  </si>
  <si>
    <t>Pradeep Kumar - Sunita Chadha</t>
  </si>
  <si>
    <t>2856 2079 1929 8000 000 - Secure / UR</t>
  </si>
  <si>
    <t>87450 79929</t>
  </si>
  <si>
    <t>Pratap Projects Constructions Private Ltd</t>
  </si>
  <si>
    <t>22.11.2026</t>
  </si>
  <si>
    <t>UP 16 CJ 9995</t>
  </si>
  <si>
    <t>8 Dec '2028</t>
  </si>
  <si>
    <t>2856 2079 1975 1400 000 - Super Secure / UR</t>
  </si>
  <si>
    <t>Rajeshwar Chauhan - 3 Yrs</t>
  </si>
  <si>
    <t>R.A-2.0 - 31473166202505 - Bronze+ SG+</t>
  </si>
  <si>
    <t>13 Dec '2026</t>
  </si>
  <si>
    <t>70881118080928 57</t>
  </si>
  <si>
    <t>R.A-2.0 - 32839578202503 - Titanium+ SG+</t>
  </si>
  <si>
    <t>26 Nov '2026</t>
  </si>
  <si>
    <t>46761117056950 37</t>
  </si>
  <si>
    <t>27 Dec '2026</t>
  </si>
  <si>
    <t>Sandeep Mavi</t>
  </si>
  <si>
    <t>23.06.2026</t>
  </si>
  <si>
    <t>DL 2C BE 2139</t>
  </si>
  <si>
    <t>6105383780 - 00 - Activa</t>
  </si>
  <si>
    <t>UP 16 PT 0259</t>
  </si>
  <si>
    <t>6303487922 00 - LCV</t>
  </si>
  <si>
    <t>620 489 0960 00 - Car</t>
  </si>
  <si>
    <t>D2188896 39 - Car</t>
  </si>
  <si>
    <t>620 537 1743 - Card</t>
  </si>
  <si>
    <t>6203743299 - Car</t>
  </si>
  <si>
    <t>Mahendra Pratap</t>
  </si>
  <si>
    <t>09.11.2026</t>
  </si>
  <si>
    <t>DL 12 CH 1121</t>
  </si>
  <si>
    <t>132/02/11/112 - Car</t>
  </si>
  <si>
    <t>6205534577 - Car</t>
  </si>
  <si>
    <t>6205505398 - Car</t>
  </si>
  <si>
    <t>28 Nov '2028</t>
  </si>
  <si>
    <t>2800 0000 1282 9700 000 - Super Secure / UR</t>
  </si>
  <si>
    <t>Jaideep Thakan - 3 Yrs</t>
  </si>
  <si>
    <t>Mahesh Sharma - 2 Yrs</t>
  </si>
  <si>
    <t xml:space="preserve">Arogya Plus - 00000000439737 28 </t>
  </si>
  <si>
    <t>2805 2035 3562 5406 000 - Optima - WR/UR</t>
  </si>
  <si>
    <t>4 Dec '2026</t>
  </si>
  <si>
    <t>2820 2039 3975 8705 000 - P.A</t>
  </si>
  <si>
    <t>11 Dec '2028</t>
  </si>
  <si>
    <t>2856 2079 4876 2200 000 - Super Secure - UR</t>
  </si>
  <si>
    <t>Akash Sharma - 3 Yrs</t>
  </si>
  <si>
    <t>2800 0000 1304 560 0000 - Super Secure / UR</t>
  </si>
  <si>
    <t>Yash Gupta - 3 Yrs</t>
  </si>
  <si>
    <t>29 Nov '2028</t>
  </si>
  <si>
    <t>H.R - 36052871202500</t>
  </si>
  <si>
    <t>27 Nov '2028</t>
  </si>
  <si>
    <t>90 L - 10 L Dedut.</t>
  </si>
  <si>
    <t>SANJAY AGGARWAL - 3 Yrs</t>
  </si>
  <si>
    <t>Rajender Saxena</t>
  </si>
  <si>
    <t xml:space="preserve">R.A-2.0 - 32085150202504 - Titanium+ SG+ </t>
  </si>
  <si>
    <t>19 Dec '2026</t>
  </si>
  <si>
    <t>DEEPAK KUMAR SINGH</t>
  </si>
  <si>
    <t>36281126002389 82</t>
  </si>
  <si>
    <t>22 Nov '2026</t>
  </si>
  <si>
    <t xml:space="preserve">Amit Talwar   </t>
  </si>
  <si>
    <t>3 Dec '2026</t>
  </si>
  <si>
    <t>2856 2059 3216 6002 000 - Secure - UR</t>
  </si>
  <si>
    <t>22 Dec '2026</t>
  </si>
  <si>
    <t>2805 2035 1631 0205 000 - Secure - UR</t>
  </si>
  <si>
    <t>Amit Verma - Office</t>
  </si>
  <si>
    <t>DL 7S CT 9907</t>
  </si>
  <si>
    <t>Activa - OD - 6105800208 - 00</t>
  </si>
  <si>
    <t>07.12.2026</t>
  </si>
  <si>
    <t>7 Dec '2026</t>
  </si>
  <si>
    <t>2805 2035 3470 6606 000 - Optima - UR</t>
  </si>
  <si>
    <t>25 Dec '2027</t>
  </si>
  <si>
    <t>ReAssure - 31465957202202  - (S.G)</t>
  </si>
  <si>
    <t>Amit Talwar</t>
  </si>
  <si>
    <t>2856 2079 6782 6900 000 - Secure</t>
  </si>
  <si>
    <t>Satyam Goyal, Port Ourg Code - Ergo</t>
  </si>
  <si>
    <t>2805 2035 2948 4006 000 - Optima - UR</t>
  </si>
  <si>
    <t>2805 2070 1821 5801 000 - Optima - UR</t>
  </si>
  <si>
    <t>Amit Choudhary - Suman Singh</t>
  </si>
  <si>
    <t>2800 0000 1378 3000 000 - Secure / UR</t>
  </si>
  <si>
    <t>15.12.2026</t>
  </si>
  <si>
    <t>Honda Activa - 6105812567 - 00</t>
  </si>
  <si>
    <t>TARUN ARORA - P.A</t>
  </si>
  <si>
    <t>131 622 528 2401 25287</t>
  </si>
  <si>
    <t>10.12.2028</t>
  </si>
  <si>
    <t>Himanshu Verma - 3 Yrs</t>
  </si>
  <si>
    <t>10721125010695 29</t>
  </si>
  <si>
    <t>11 Dec '2026</t>
  </si>
  <si>
    <t>BHARAT - Urmila Devi</t>
  </si>
  <si>
    <t>10 Dec '2026</t>
  </si>
  <si>
    <t>R.A-2.0 - 35208410202500 - Bronze+ SG+DM Gold</t>
  </si>
  <si>
    <t>10 L - 20 K</t>
  </si>
  <si>
    <t>R.A 2.0 - 33727028202602 - Bronze+ SG +</t>
  </si>
  <si>
    <t>5 Dec '2026</t>
  </si>
  <si>
    <t>PRADEEP KUMAR GUPTA - Meerut</t>
  </si>
  <si>
    <t>42421117091056 82</t>
  </si>
  <si>
    <t>2805 2035 2183 4206 000 - Optima - WR/UR</t>
  </si>
  <si>
    <t>18811125012422 60</t>
  </si>
  <si>
    <t>15 Dec '2026</t>
  </si>
  <si>
    <t>Vipin Suri - Travel</t>
  </si>
  <si>
    <t>3367 2079 8508 1400 000 - Travel</t>
  </si>
  <si>
    <t>21 Dec '2025</t>
  </si>
  <si>
    <t>6205616678 00 00</t>
  </si>
  <si>
    <t>23.12.2026</t>
  </si>
  <si>
    <t>DL 14 CE 2178</t>
  </si>
  <si>
    <t>101046/88/26/000013</t>
  </si>
  <si>
    <t>23 Dec '2028</t>
  </si>
  <si>
    <t>Amit Choudhary</t>
  </si>
  <si>
    <t>2856 2079 8596 4500 000 - Super Secure - UR</t>
  </si>
  <si>
    <t xml:space="preserve">R.A-2.0 - 33547931202502 - Titanium+ SG+ </t>
  </si>
  <si>
    <t>17 Dec '2026</t>
  </si>
  <si>
    <t>2805 2035 2018 3506 000 - Restore - UR</t>
  </si>
  <si>
    <t>R.A-2.0 - 36942731202500 - Bronze+ SG+</t>
  </si>
  <si>
    <t>10 L - 30 K</t>
  </si>
  <si>
    <t>ABHISHEK JAIN - Kamlesh Jain</t>
  </si>
  <si>
    <t>2805 2035 2105 4306 000 - Restore - WR</t>
  </si>
  <si>
    <t>18 Dec '2026</t>
  </si>
  <si>
    <t>16 Dec '2028</t>
  </si>
  <si>
    <t>Gaurav Kumar - 3 Yrs</t>
  </si>
  <si>
    <t>2800 0000 1462 1800 000 - Super Secure - UR</t>
  </si>
  <si>
    <t>Son</t>
  </si>
  <si>
    <t>Sunil Agarwal N.C</t>
  </si>
  <si>
    <t>R.A-2.0 - 32135797202504 - Bronze+ SG +</t>
  </si>
  <si>
    <t>24 Dec '2026</t>
  </si>
  <si>
    <t>2805 2035 0354 7206 000 - Optima - WR/UR</t>
  </si>
  <si>
    <t>2856 2070 4451 9301 000 - Secure / UR</t>
  </si>
  <si>
    <t>16 Dec '2026</t>
  </si>
  <si>
    <t>K.K. Arora, Premium High</t>
  </si>
  <si>
    <t>RAKSHIT GUPTA - Model Town - 3 Yrs</t>
  </si>
  <si>
    <t>26 Dec '2026</t>
  </si>
  <si>
    <t>Senior First - 33646445202502 (W.S.G)</t>
  </si>
  <si>
    <t>H.R - 34512571202501</t>
  </si>
  <si>
    <t>AARTI - Sarvesh Kumar - Rewari</t>
  </si>
  <si>
    <t>23 Dec '2026</t>
  </si>
  <si>
    <t xml:space="preserve">R.A-2.0 - 32133627202504 - Titanium+ SG+ </t>
  </si>
  <si>
    <t xml:space="preserve">R.A-2.0 - 31466014202505 - Titanium+ SG+ </t>
  </si>
  <si>
    <t>26 Dec '2028</t>
  </si>
  <si>
    <t>23141125012719 50</t>
  </si>
  <si>
    <t>NITIN BHATNAGAR</t>
  </si>
  <si>
    <t>99109 95283</t>
  </si>
  <si>
    <t>74631117091290 59</t>
  </si>
  <si>
    <t>Joydeep Das</t>
  </si>
  <si>
    <t>5 L - 25 K</t>
  </si>
  <si>
    <t>2800 0000 1515 4800 000 - Secure - UR</t>
  </si>
  <si>
    <t>0 770</t>
  </si>
  <si>
    <t>91861117052296 10</t>
  </si>
  <si>
    <t xml:space="preserve">R.A-2.0 - 32102795202503 - Platinium+ SG+ </t>
  </si>
  <si>
    <t>25 Dec '2026</t>
  </si>
  <si>
    <t>R.A 2.0 - 34596585202601 - Bronze+ SG +</t>
  </si>
  <si>
    <t>13 Jan '2027</t>
  </si>
  <si>
    <t>P.A - 34582843202601</t>
  </si>
  <si>
    <t>8 Jan '2027</t>
  </si>
  <si>
    <t>Amit Kumar - Ergo C</t>
  </si>
  <si>
    <t>6303683051 00
00</t>
  </si>
  <si>
    <t>27.12.2026</t>
  </si>
  <si>
    <t>2805 2035 3678 4906 000 - Optima - UR</t>
  </si>
  <si>
    <t>1 Jan '2029</t>
  </si>
  <si>
    <t>15L - 50 K</t>
  </si>
  <si>
    <t>2856 2080 4067 5900 000 - Super Secure / UR</t>
  </si>
  <si>
    <t>Nitin Bhatnagar - 3 Yrs</t>
  </si>
  <si>
    <t>131 622 528 2401 32218</t>
  </si>
  <si>
    <t>24.12.2026</t>
  </si>
  <si>
    <t>131 622 528 2401 30413</t>
  </si>
  <si>
    <t>131 622 528 2401 31483</t>
  </si>
  <si>
    <t>R.A 2.0 - 31504602202605 - Bronze+ SG +</t>
  </si>
  <si>
    <t>R.A 2.0 - 32946610202603 - Bronze+ SG +</t>
  </si>
  <si>
    <t>2 Jan '2027</t>
  </si>
  <si>
    <t>P.A - 32149455202504</t>
  </si>
  <si>
    <t>2805 2039 3835 8105 001 - Optima - UR</t>
  </si>
  <si>
    <t>SANJEEV KUMAR - Chilla Village - 3 Yrs</t>
  </si>
  <si>
    <t>2800 0000 1632 6300 000 - Super Secure</t>
  </si>
  <si>
    <t>25 L - 5 L</t>
  </si>
  <si>
    <t>30 Dec '2026</t>
  </si>
  <si>
    <t>30 Dec '2028</t>
  </si>
  <si>
    <t>2800 0000 1633 1300 000 - Secure - UR</t>
  </si>
  <si>
    <t>Nand Kishor</t>
  </si>
  <si>
    <t>131 622 528 2401 31129</t>
  </si>
  <si>
    <t>Devesh Kumar - Parents</t>
  </si>
  <si>
    <t xml:space="preserve">2800 0000 1622 0000 000 - Super Secure </t>
  </si>
  <si>
    <t>Vikas Malik - Ruchi Malik - 3 Yrs</t>
  </si>
  <si>
    <t xml:space="preserve">2856 2051 3760 6003 000 - Secure </t>
  </si>
  <si>
    <t>Shilpa Umesh Singh Tomar</t>
  </si>
  <si>
    <t>Sakshi Deewan</t>
  </si>
  <si>
    <t>Fresh - 131622528240120929</t>
  </si>
  <si>
    <t>29.11.2026</t>
  </si>
  <si>
    <t>2805 2035 2267 2106 000  - Optima - UR</t>
  </si>
  <si>
    <t>7 Jan '2027</t>
  </si>
  <si>
    <t>2805 2035 4275 7906 000 - Optima - WR</t>
  </si>
  <si>
    <t>25680010 - Grp Policy</t>
  </si>
  <si>
    <t>Bharat Sanghavi - Port</t>
  </si>
  <si>
    <t>2805 2035 3792 5806 000 - Optima - WR/UR</t>
  </si>
  <si>
    <t>5 Jan '2027</t>
  </si>
  <si>
    <t>16 Feb '2027</t>
  </si>
  <si>
    <t>Vineet Giri - 3 Yrs</t>
  </si>
  <si>
    <t>7 Jan '2029</t>
  </si>
  <si>
    <t>2856 2080 6844 8300 000 - Super Secure - UR</t>
  </si>
  <si>
    <t>15 L - 50 K</t>
  </si>
  <si>
    <t>R.A 2.0 - 32144075202604 - Bronze+ SG +</t>
  </si>
  <si>
    <t>12 Jan '2027</t>
  </si>
  <si>
    <t>H. Companion - 31482566202603</t>
  </si>
  <si>
    <t xml:space="preserve">MEENA VARMA </t>
  </si>
  <si>
    <t>1 Jan '2027</t>
  </si>
  <si>
    <t>NISHANT KUMAR</t>
  </si>
  <si>
    <t>3 Jan '2027</t>
  </si>
  <si>
    <t xml:space="preserve">R.A 2.0 - 32170040202604 - Titanium+ SG+ </t>
  </si>
  <si>
    <t>Harish Chandra</t>
  </si>
  <si>
    <t>2805 2035 2929 9506 000 - Optima - UR</t>
  </si>
  <si>
    <t>31 Jan '2026</t>
  </si>
  <si>
    <t>3367 2080 7659 5700 000 - Travel</t>
  </si>
  <si>
    <t>5L - 25 K</t>
  </si>
  <si>
    <t>Anita Devi</t>
  </si>
  <si>
    <t>10.01.2027</t>
  </si>
  <si>
    <t>UP14BR6859</t>
  </si>
  <si>
    <t>D246796437 / 09012026</t>
  </si>
  <si>
    <t>Kamlesh - Kotak - C.A</t>
  </si>
  <si>
    <t>22.01.2027</t>
  </si>
  <si>
    <t>6205764234 00 00 - Honda City</t>
  </si>
  <si>
    <t>DL 9C U 3155</t>
  </si>
  <si>
    <t>Sanjeev Kumar - Niva Client</t>
  </si>
  <si>
    <t>09.01.2027</t>
  </si>
  <si>
    <t>131 622 6288 800 00238</t>
  </si>
  <si>
    <t>131 622 6288 800 00226</t>
  </si>
  <si>
    <t xml:space="preserve">R.A 2.0 - 32185435202604 - Titanium+ SG+ </t>
  </si>
  <si>
    <t>18 Jan '2027</t>
  </si>
  <si>
    <t>6205764234 00 00</t>
  </si>
  <si>
    <t>Senior First - 34630974202601</t>
  </si>
  <si>
    <t>25 Jan '2027</t>
  </si>
  <si>
    <t>15 Jan '2027</t>
  </si>
  <si>
    <t>Company Policy</t>
  </si>
  <si>
    <t>43661117091069 47</t>
  </si>
  <si>
    <t>16 Jan '2027</t>
  </si>
  <si>
    <t>2856 2060 3733 1502 000 - Secure - UR</t>
  </si>
  <si>
    <t>2814 2060 4259 8102 000 - Energy Silver</t>
  </si>
  <si>
    <t>2805 2035 4451 3006 000 - Optima - UR</t>
  </si>
  <si>
    <t>2805 2035 2837 0105 000 - Secure - UR</t>
  </si>
  <si>
    <t>19 Jan '2028</t>
  </si>
  <si>
    <t>Akhil Agarwal - 2 Yrs</t>
  </si>
  <si>
    <t>2805 2035 2819 1206 000 - Optima - WR/UR</t>
  </si>
  <si>
    <t>2856 2060 5824 7502 000 - Secure - UR</t>
  </si>
  <si>
    <t>30 Jan '2027</t>
  </si>
  <si>
    <t>2805 2035 1613 6106 000 - Optima / UR</t>
  </si>
  <si>
    <t>Super Health - 0000000042333061-01</t>
  </si>
  <si>
    <t>13 Feb '2027</t>
  </si>
  <si>
    <t>FVB-34-26-7115227-03-000</t>
  </si>
  <si>
    <t>PARVINDER KUMAR</t>
  </si>
  <si>
    <t xml:space="preserve">R.A - 32185226202604 - Titanium+ SG+ </t>
  </si>
  <si>
    <t>27 Jan '2027</t>
  </si>
  <si>
    <t xml:space="preserve">R.A 2.0 - 33652457202602 - Titanium+ SG+ </t>
  </si>
  <si>
    <t>17 Jan '2027</t>
  </si>
  <si>
    <t>R.A 2.0 - 34626461202601 - Aspire Gold+ SG+</t>
  </si>
  <si>
    <t>NITIN KUMAR - K. Ngr</t>
  </si>
  <si>
    <t>P.A - 34628614202601</t>
  </si>
  <si>
    <t>357345952026 00 - Titanium+ SG+</t>
  </si>
  <si>
    <t>Aspire Gold+ - 32173874202604 - Dedut. 12.5 K</t>
  </si>
  <si>
    <t>20 Jan '2028</t>
  </si>
  <si>
    <t>BHARAT MALVIYA - Parents - 2 Yrs</t>
  </si>
  <si>
    <t>2805 2071 1941 8901 000 - Optima - UR</t>
  </si>
  <si>
    <t>20 Jan '2027</t>
  </si>
  <si>
    <t>21 Jan '2027</t>
  </si>
  <si>
    <t>10 Jan '2027</t>
  </si>
  <si>
    <t>10 L - 90 L</t>
  </si>
  <si>
    <t>27.01.2027</t>
  </si>
  <si>
    <t>Sujata Mukherjee / Nitin</t>
  </si>
  <si>
    <t>131 622 6282 400 05548</t>
  </si>
  <si>
    <t>10 L - 1 Lakh</t>
  </si>
  <si>
    <t>Super Top-up - POSTUP00100007807</t>
  </si>
  <si>
    <t>20 L - 5 L</t>
  </si>
  <si>
    <t>2856 2081 2785 4600 000 - Secure - UR</t>
  </si>
  <si>
    <t>2856 2081 2721 7400 002 - Secure - UR</t>
  </si>
  <si>
    <t>2856 2081 3304 7600 000 - Secure - UR</t>
  </si>
  <si>
    <t>2800 0000 1879 1000 000 - Secure - UR</t>
  </si>
  <si>
    <t>Rajeev Sawhney - Gurgaon</t>
  </si>
  <si>
    <t>Aayushi Sawhney - Gurgaon</t>
  </si>
  <si>
    <t>Ananya Sawhney - Gurgaon</t>
  </si>
  <si>
    <t>SAMREEN</t>
  </si>
  <si>
    <t>2806 2060 5864 6802 000 - Easy Health</t>
  </si>
  <si>
    <t>29 Jan '2027</t>
  </si>
  <si>
    <t xml:space="preserve">Prashant Bali </t>
  </si>
  <si>
    <t>Vipin Suri</t>
  </si>
  <si>
    <t>98103 30676</t>
  </si>
  <si>
    <t>98119 06364</t>
  </si>
  <si>
    <t>BALVINDER KAUR</t>
  </si>
  <si>
    <t>Deepak Kr Mishra - Port Other Code Aditya</t>
  </si>
  <si>
    <t>Ritika Sharma</t>
  </si>
  <si>
    <t>131 622 6282 400 05060</t>
  </si>
  <si>
    <t>Babita</t>
  </si>
  <si>
    <t>131 622 6282 400 05393</t>
  </si>
  <si>
    <t>Pooja Jain</t>
  </si>
  <si>
    <t>131 622 6282 400 07403</t>
  </si>
  <si>
    <t>3367 2081 7280 3500 000 - Travel</t>
  </si>
  <si>
    <t>30 Jan '2026 Fresh</t>
  </si>
  <si>
    <t>12 Feb '2027</t>
  </si>
  <si>
    <t>2856 2052 4063 9003 000 - Secure - UR</t>
  </si>
  <si>
    <t>LAXMI KAUR</t>
  </si>
  <si>
    <t>2820 2036 9589 1506 000 - P.A</t>
  </si>
  <si>
    <t>2 Feb '2027</t>
  </si>
  <si>
    <t>3 Feb '2027</t>
  </si>
  <si>
    <t xml:space="preserve">KANISHKA SHARMA </t>
  </si>
  <si>
    <t>11 Feb '2027</t>
  </si>
  <si>
    <t>2856 2061 2137 5102 000 - Secure - UR</t>
  </si>
  <si>
    <t>2856 2059 9426 7102 000 - Secure / UR</t>
  </si>
  <si>
    <t>Aspire - 34611885202601 Gold+ SG+</t>
  </si>
  <si>
    <t>8 Feb '2027</t>
  </si>
  <si>
    <t>5 Feb '2027</t>
  </si>
  <si>
    <t>R.A-2.0 - 33007878202603 - Bronze+ SG+</t>
  </si>
  <si>
    <t>2 Feb '2028</t>
  </si>
  <si>
    <t>5 L - 50 K</t>
  </si>
  <si>
    <t>5 L - 1  L</t>
  </si>
  <si>
    <t>Satendra Singh Rawat - 2 Yrs</t>
  </si>
  <si>
    <t>2866 2082 0634 8600 000 - Super Top Up</t>
  </si>
  <si>
    <t>97178 29966</t>
  </si>
  <si>
    <t>2805 2035 2488 6706 000 - Optima - W.R/UR</t>
  </si>
  <si>
    <t>4 Feb '2027</t>
  </si>
  <si>
    <t>5L - 50 K</t>
  </si>
  <si>
    <t>2866 2082 1284 5400 000 - Super Top Up</t>
  </si>
  <si>
    <t>2805 2035 4259 5206 000 - Optima - WR/UR</t>
  </si>
  <si>
    <t>2805 2035 3520 0806 000 - Optima - WR/UR</t>
  </si>
  <si>
    <t>9 Feb '2027</t>
  </si>
  <si>
    <t>50 L - 1 L</t>
  </si>
  <si>
    <t>22 Feb '2029</t>
  </si>
  <si>
    <t>Arun Kumar Gupta - 3 Yrs</t>
  </si>
  <si>
    <t>ANUP SINGHAL - 3 Yrs - P.A</t>
  </si>
  <si>
    <t>ANUP SINGHAL - 3 Yrs - H.R</t>
  </si>
  <si>
    <t>ANUP SINGHAL - 3 Yrs - R.A</t>
  </si>
  <si>
    <t>P.A - 32286420202602</t>
  </si>
  <si>
    <t>1 Mar '2029</t>
  </si>
  <si>
    <t>Aspire - 32241734202604 - Gold+ SG+</t>
  </si>
  <si>
    <t>18 Feb '2027</t>
  </si>
  <si>
    <t>10 Feb '2027</t>
  </si>
  <si>
    <t>Parichay Didwania</t>
  </si>
  <si>
    <t>Anil Walia - Super Top Up</t>
  </si>
  <si>
    <t>Aspire - 31548224202605 - Gold+ SG+</t>
  </si>
  <si>
    <t>RA-3.0 - 67617542202600 - Elite</t>
  </si>
  <si>
    <t>Unlimited</t>
  </si>
  <si>
    <t>09 Feb '2027</t>
  </si>
  <si>
    <t>Sandhya Bhutani</t>
  </si>
  <si>
    <t>Alpha Select - PODIY00100013945</t>
  </si>
  <si>
    <t>2805 2035 1518 1206 001 - Optima - UR</t>
  </si>
  <si>
    <t>20 Feb '2027</t>
  </si>
  <si>
    <t>27 Feb '2029</t>
  </si>
  <si>
    <t>Feb '2026</t>
  </si>
  <si>
    <t>10 Feb '2029</t>
  </si>
  <si>
    <t>Deeksha Kalra - 3 Yrs</t>
  </si>
  <si>
    <t>28000000208761000 00 - Super Secure - UR</t>
  </si>
  <si>
    <t>Aspire - 32249777202604 - Titanium+ SG+</t>
  </si>
  <si>
    <t>14 Feb '2027</t>
  </si>
  <si>
    <t>27 Feb '2027</t>
  </si>
  <si>
    <t xml:space="preserve">2856 2052 5840 3003 000 - Secure </t>
  </si>
  <si>
    <t>28 Feb '2027</t>
  </si>
  <si>
    <t>2856 2070 9703 0101 000</t>
  </si>
  <si>
    <t>Manju</t>
  </si>
  <si>
    <t>131 622 6282 400 11255</t>
  </si>
  <si>
    <t>25.02.2027</t>
  </si>
  <si>
    <t>Rajeev Madan</t>
  </si>
  <si>
    <t>131 622 6282 400 11305</t>
  </si>
  <si>
    <t>05.02.2027</t>
  </si>
  <si>
    <t>Pooja - Laxman</t>
  </si>
  <si>
    <t>131 622 6282 400 11206</t>
  </si>
  <si>
    <t>2805 2038 7755 6404 000 - Optima / UR</t>
  </si>
  <si>
    <t>2856 2082 4915 3600 000 - Secure - UR</t>
  </si>
  <si>
    <t>26 Feb '2027</t>
  </si>
  <si>
    <t>2856 2082 5611 9900 000 - Secure - UR</t>
  </si>
  <si>
    <t>Shiv Kumar Mishra</t>
  </si>
  <si>
    <t>15 Feb '2029</t>
  </si>
  <si>
    <t>2856 2052 4240 0701 004 - Secure - UR</t>
  </si>
  <si>
    <t>19 Mar '2028</t>
  </si>
  <si>
    <t>2805 2044 9956 8502 000 - Optima - WR/UR</t>
  </si>
  <si>
    <t>KAPIL PRATAP SHISHODIYA</t>
  </si>
  <si>
    <t>17 Feb '2027</t>
  </si>
  <si>
    <t>Aspire - 37447252202600 - Gold + SG+</t>
  </si>
  <si>
    <t>FHA-34-26-7128112-03-000</t>
  </si>
  <si>
    <t>15 Feb '2027</t>
  </si>
  <si>
    <t>R.A 2.0 - 33745963202602 - Titanium+ SG+</t>
  </si>
  <si>
    <t>POOJA KATYAL - 2 Yrs</t>
  </si>
  <si>
    <t>131 622 6282 400 14897</t>
  </si>
  <si>
    <t>Karanjeet - Ergo Client</t>
  </si>
  <si>
    <t>2856 2082 7147 1600 000 - Secure - UR</t>
  </si>
  <si>
    <t>19 Feb '2027</t>
  </si>
  <si>
    <t>2856 2061 4529 0802 000 - Secure</t>
  </si>
  <si>
    <t>Tarnjeet Singh</t>
  </si>
  <si>
    <t xml:space="preserve">43931125000427 40 </t>
  </si>
  <si>
    <t>RAMESH DHAR DWIVEDI</t>
  </si>
  <si>
    <t>1148112600087185 - S.Star</t>
  </si>
  <si>
    <t>4720112006484590 - Assure</t>
  </si>
  <si>
    <t>2011112006051962 - FHO</t>
  </si>
  <si>
    <t>7320111804290263 - CHI</t>
  </si>
  <si>
    <t>7356112402034619 - Assure</t>
  </si>
  <si>
    <t>5148111805281209 - CHI</t>
  </si>
  <si>
    <t>2026 - 2029</t>
  </si>
  <si>
    <t>6 Jan '2027</t>
  </si>
  <si>
    <t>2256111115028978 - Medi.</t>
  </si>
  <si>
    <t>8587112501211730 - Assure</t>
  </si>
  <si>
    <t>4876112600255523 - Assure</t>
  </si>
  <si>
    <t>2966112105009175 - Y.S</t>
  </si>
  <si>
    <t>7722162500006427 - P.A</t>
  </si>
  <si>
    <t>8604112105042081 - Y.S</t>
  </si>
  <si>
    <t>3375112105048098 - S.C</t>
  </si>
  <si>
    <t>1933112600217300 - Assure</t>
  </si>
  <si>
    <t>6886111214586859 - Assure</t>
  </si>
  <si>
    <t>7040111214127170 - Medi.</t>
  </si>
  <si>
    <t>4476112402225602 - W.C</t>
  </si>
  <si>
    <t>4756111709200559 - FHO</t>
  </si>
  <si>
    <t>5993111709110473 - CHI</t>
  </si>
  <si>
    <t>7531112500212359 - Assure</t>
  </si>
  <si>
    <t>2814 2061 4097 7202 000 - Energy Silver</t>
  </si>
  <si>
    <t>2856 2061 5046 6102 000 - Secure - UR</t>
  </si>
  <si>
    <t>2820 2036 9773 7806 000 - P.A</t>
  </si>
  <si>
    <t>2805 2035 2806 1204 000 - Optima - WR / UR</t>
  </si>
  <si>
    <t>2805 2035 3060 6906 000 - Optima - WR/UR</t>
  </si>
  <si>
    <t>2805 2035 4112 0106 000 - Optima - WR/UR</t>
  </si>
  <si>
    <t>2805 2035 3943 4806 000 - Optima</t>
  </si>
  <si>
    <t>2805 2035 4357 8106 000 - Optima</t>
  </si>
  <si>
    <t>Kshiteej Aggarwal</t>
  </si>
  <si>
    <t>2820 2036 9132 9106 001 - P.A</t>
  </si>
  <si>
    <t>23 Feb '2027</t>
  </si>
  <si>
    <t>2856 2052 5793 0503 000 - Secure - UR</t>
  </si>
  <si>
    <t>2806 2035 9437 0306 000 - Easy Health</t>
  </si>
  <si>
    <t>2806 2040 4447 6105 000 - Easy Health</t>
  </si>
  <si>
    <t xml:space="preserve">Mohit Choudhary       </t>
  </si>
  <si>
    <t xml:space="preserve">Sarla                           </t>
  </si>
  <si>
    <t>2806 2035 8089 5406 001 - Easy Health</t>
  </si>
  <si>
    <t>25 Feb '2027</t>
  </si>
  <si>
    <t>Aspire - 34660744202601 - DM + Gold+ SG+</t>
  </si>
  <si>
    <t>24 Feb '2027</t>
  </si>
  <si>
    <r>
      <t>KANIKA KUNDRA -</t>
    </r>
    <r>
      <rPr>
        <b/>
        <sz val="15"/>
        <color rgb="FFFF0000"/>
        <rFont val="Bookman Old Style"/>
        <family val="1"/>
      </rPr>
      <t xml:space="preserve"> END0</t>
    </r>
    <r>
      <rPr>
        <sz val="10"/>
        <color theme="1"/>
        <rFont val="Bookman Old Style"/>
        <family val="1"/>
      </rPr>
      <t xml:space="preserve"> - Mail / Mob</t>
    </r>
  </si>
  <si>
    <r>
      <t xml:space="preserve">RISHABH JAIN - </t>
    </r>
    <r>
      <rPr>
        <b/>
        <sz val="14"/>
        <color rgb="FFFF0000"/>
        <rFont val="Bookman Old Style"/>
        <family val="1"/>
      </rPr>
      <t>END0</t>
    </r>
    <r>
      <rPr>
        <sz val="10"/>
        <color theme="1"/>
        <rFont val="Bookman Old Style"/>
        <family val="1"/>
      </rPr>
      <t xml:space="preserve"> / Nominee</t>
    </r>
  </si>
  <si>
    <t>P.A. - 32959835202603</t>
  </si>
  <si>
    <t>R.A-2.0 - 34880940202601  - Gold+ SG+</t>
  </si>
  <si>
    <t>13 Mar '2027</t>
  </si>
  <si>
    <t>R.A - 32302764202604 - W.SG</t>
  </si>
  <si>
    <t>Aspire - 33035262202603 - Gold+ SG+</t>
  </si>
  <si>
    <t>7 Mar '2027</t>
  </si>
  <si>
    <t>H.R - 33067397202601</t>
  </si>
  <si>
    <t>3 Mar '2029</t>
  </si>
  <si>
    <t>8 Feb '2031</t>
  </si>
  <si>
    <t>ASHOK KUMAR BATHWAL - 5 Yrs</t>
  </si>
  <si>
    <t>6189111907073614 - CHI</t>
  </si>
  <si>
    <t>7811111115099135 - FHO</t>
  </si>
  <si>
    <t>8219111808008670 - CHI</t>
  </si>
  <si>
    <t>7865111807066129 - CHI</t>
  </si>
  <si>
    <t>29 Mar '2027</t>
  </si>
  <si>
    <t>8921111702240156 - Y.S</t>
  </si>
  <si>
    <t>29 Feb '2028</t>
  </si>
  <si>
    <t>SHUBHANGI GUPTA - 2 Yrs</t>
  </si>
  <si>
    <t>8930111808156562 - S.C</t>
  </si>
  <si>
    <t>9728111808089876 - H.G</t>
  </si>
  <si>
    <t>8204112500057373 - Y.S</t>
  </si>
  <si>
    <t>Super Health - 0000000042433501-01</t>
  </si>
  <si>
    <t>1 Feb '2027</t>
  </si>
  <si>
    <t xml:space="preserve">NO - Direct Debit </t>
  </si>
  <si>
    <t xml:space="preserve">YS - Direct Debit </t>
  </si>
  <si>
    <t>YS - Direct Debet</t>
  </si>
  <si>
    <t>2856 2061 5578 3402 000 - Secure / UR</t>
  </si>
  <si>
    <t>2805 2082 9099 5000 000 - Optima / UR</t>
  </si>
  <si>
    <t>2856 2060 7734 1500 000 - Secure / UR</t>
  </si>
  <si>
    <t>2856 2051 9105 3201 000 - Secure / UR</t>
  </si>
  <si>
    <t>2805 2039 5783 1604 000 - Optima / UR</t>
  </si>
  <si>
    <t>2820 2036 9415 8806 000 - P.A</t>
  </si>
  <si>
    <t>17 Mar '2027</t>
  </si>
  <si>
    <t>2820 2036 8754 2606 000 - P.A</t>
  </si>
  <si>
    <t>28 Mar '2027</t>
  </si>
  <si>
    <t>2856 2083 0474 5100 000 - Secure / UR</t>
  </si>
  <si>
    <t>2856 2083 0463 9800 000 - Secure / UR</t>
  </si>
  <si>
    <t>Khushboo Gupta</t>
  </si>
  <si>
    <t>2856 2052 6462 3203 000 - Secure - UR</t>
  </si>
  <si>
    <t>Praveen Chauhan</t>
  </si>
  <si>
    <t>2800 0000 2324 3300 000 - Secure / UR</t>
  </si>
  <si>
    <t>28 Feb '2029</t>
  </si>
  <si>
    <t>Manisha Chauhan</t>
  </si>
  <si>
    <t>2800 0000 2329 4800 000 - Super Secur / UR / ABCD</t>
  </si>
  <si>
    <t>2800 0000 2324 4300 000 - Super Secure / UR / ABCD</t>
  </si>
  <si>
    <t>Hitender Kumar</t>
  </si>
  <si>
    <t xml:space="preserve">Kapil </t>
  </si>
  <si>
    <t>9971744254 - Kapil</t>
  </si>
  <si>
    <t>2805 2035 2887 0406 001 - Optima - WR</t>
  </si>
  <si>
    <t xml:space="preserve">Pawan Kumar Raghav </t>
  </si>
  <si>
    <t>Hitendra Kumar - 3 Yrs</t>
  </si>
  <si>
    <t>H.R - 32308314202604</t>
  </si>
  <si>
    <r>
      <t xml:space="preserve">KARANJEET SINGH SAINI - </t>
    </r>
    <r>
      <rPr>
        <b/>
        <sz val="12"/>
        <color rgb="FFFF0000"/>
        <rFont val="Bookman Old Style"/>
        <family val="1"/>
      </rPr>
      <t>ENDO Addr.</t>
    </r>
  </si>
  <si>
    <t>P.A. - 32964017202603</t>
  </si>
  <si>
    <t>R.A - 32279678202604 - W.SG</t>
  </si>
  <si>
    <t>2805 2035 2299 8206 000 - Optima / WR/H.Cash/UR</t>
  </si>
  <si>
    <t>14 Mar '2027</t>
  </si>
  <si>
    <t>2805 2035 2202 5806 000</t>
  </si>
  <si>
    <t>6 Mar '2027</t>
  </si>
  <si>
    <t>2856 2052 7548 0903 000 - Secure - UR</t>
  </si>
  <si>
    <t>04.03.2027</t>
  </si>
  <si>
    <t>DL 07 CW 4431</t>
  </si>
  <si>
    <t>6204310227 01 00</t>
  </si>
  <si>
    <t>2856 2052 7990 3901 000 - Secure / UR</t>
  </si>
  <si>
    <t>7 Mar '2029</t>
  </si>
  <si>
    <t xml:space="preserve">10 L - 25 K </t>
  </si>
  <si>
    <t>H.R - 32308370202604</t>
  </si>
  <si>
    <t>90 L - 10 L</t>
  </si>
  <si>
    <t>2805 2035 3916 9106 000 - Optima</t>
  </si>
  <si>
    <t>Alpha - PODIY00100016597</t>
  </si>
  <si>
    <t>06 Mar '2028</t>
  </si>
  <si>
    <t>Harsh Kumar Gupta - 2 Yrs</t>
  </si>
  <si>
    <t>10 Mar '2027</t>
  </si>
  <si>
    <t>2856 2062 0045 3202 000 - UR</t>
  </si>
  <si>
    <t>R.A - 32308352202604 - W.SG</t>
  </si>
  <si>
    <t>SHAHID KHAN - H.R</t>
  </si>
  <si>
    <t>R.A-2.0 - 32302716202604 - Titanium+ SG+</t>
  </si>
  <si>
    <t>2805 2035 3698 1906 000 - Optima / WR</t>
  </si>
  <si>
    <t>2856 2061 7742 0902 000 -  Secure - UR</t>
  </si>
  <si>
    <t>9 Mar '2028</t>
  </si>
  <si>
    <t>2805 2036 5022 9402 000 - Optima</t>
  </si>
  <si>
    <t>Sanjeev Sharma - V. Vihar</t>
  </si>
  <si>
    <t>Sanjeev Sharma - V. Vihar - 2 Yrs</t>
  </si>
  <si>
    <t>Karanjeet Singh Saini</t>
  </si>
  <si>
    <t>Akshay Bhatia</t>
  </si>
  <si>
    <t>ELEVATE - 100050215100</t>
  </si>
  <si>
    <t>Griha Raksha Policy - 1015/A/COMHOME/392161452/00/000</t>
  </si>
  <si>
    <t>DEEPAK AGGARWAL</t>
  </si>
  <si>
    <t>9 Mar '2027</t>
  </si>
  <si>
    <t>Sunil Aggarwal</t>
  </si>
  <si>
    <t>Aspire - 35081441202600 - Gold+ SG</t>
  </si>
  <si>
    <t>15 Mar '2029</t>
  </si>
  <si>
    <t>Aspire - 35278763202600 - Gold+ SG+ DM Gold</t>
  </si>
  <si>
    <t>MAHENDRA PRATAP UPADHYAY - 3 Yrs</t>
  </si>
  <si>
    <t>06 Mar '2029</t>
  </si>
  <si>
    <t>H.R - 37630719202600</t>
  </si>
  <si>
    <t>R.A - 2.0 - 32310197202501 - Bronze+ SG+</t>
  </si>
  <si>
    <t xml:space="preserve">MAHENDRA PRATAP UPADHYAY - 3 Yrs </t>
  </si>
  <si>
    <t>5 Mar '2027</t>
  </si>
  <si>
    <t>HITENDRA KUMAR</t>
  </si>
  <si>
    <t>95 L - 5 L</t>
  </si>
  <si>
    <t>H.R - 35026065202600</t>
  </si>
  <si>
    <t>2856 2072 2517 0701 000 - Secure - UR</t>
  </si>
  <si>
    <t>2805 2035 2886 4306 000 - WR/UR/H.Cash</t>
  </si>
  <si>
    <t>15 Mar '2027</t>
  </si>
  <si>
    <t>2805 2035 2265 5806 000 - Optima / UR</t>
  </si>
  <si>
    <t>R.A-2.0 - 32316914202604 - Bronze+ SG+</t>
  </si>
  <si>
    <t>19841120060091 97</t>
  </si>
  <si>
    <t>5813162600016261 - P.A</t>
  </si>
  <si>
    <t>RICHA SAHNI - P.A</t>
  </si>
  <si>
    <t>21 Feb '2027</t>
  </si>
  <si>
    <t xml:space="preserve">3167112402066049 - S.C </t>
  </si>
  <si>
    <t>7935112501017939 - Y.S</t>
  </si>
  <si>
    <t>RAHUL THAKUR - P.A</t>
  </si>
  <si>
    <t>5222162600086539 - P.A</t>
  </si>
  <si>
    <t>1983111610107303 - FHO</t>
  </si>
  <si>
    <t>4269111610557947 - Assure</t>
  </si>
  <si>
    <t>Elevate - 38728050201</t>
  </si>
  <si>
    <t>3959112600038762 - Assure</t>
  </si>
  <si>
    <t>7078111804292741 - Y.S</t>
  </si>
  <si>
    <t>TUSHAR - Yamuna Vihar</t>
  </si>
  <si>
    <r>
      <t xml:space="preserve">Deepika Choudhary      </t>
    </r>
    <r>
      <rPr>
        <b/>
        <sz val="14"/>
        <color theme="1"/>
        <rFont val="Bookman Old Style"/>
        <family val="1"/>
      </rPr>
      <t xml:space="preserve"> </t>
    </r>
  </si>
  <si>
    <t>2805 2035 4015 0606 000 - Optima / UR</t>
  </si>
  <si>
    <t>25 Mar '2027</t>
  </si>
  <si>
    <t>2805 2038 7752 3606 000 - Optima - UR</t>
  </si>
  <si>
    <t>19 Feb '2028</t>
  </si>
  <si>
    <t>Rupali Mehra - 2 Yrs</t>
  </si>
  <si>
    <t>Suman Singh</t>
  </si>
  <si>
    <t xml:space="preserve">Vehicle </t>
  </si>
  <si>
    <t>2805 2035 2302 5206 000 - Optima / W.R / UR</t>
  </si>
  <si>
    <t>27 Mar '2027</t>
  </si>
  <si>
    <t>2805 2035 4639 1306 000 - Optima / UR</t>
  </si>
  <si>
    <t>2805 2035 6934 1706 000 - UR</t>
  </si>
  <si>
    <t>31 Mar '2027</t>
  </si>
  <si>
    <t>2856 2052 9379 4403 000 - Secure - UR</t>
  </si>
  <si>
    <t>2805 2035 2673 4606 000 - Optima / UR</t>
  </si>
  <si>
    <t xml:space="preserve">2805 2036 4787 4103 000 - Optima / WR / UR </t>
  </si>
  <si>
    <t>2856 2061 4303 2902 000 - Secure / UR</t>
  </si>
  <si>
    <t>24.03.2027</t>
  </si>
  <si>
    <t>6204352860 01 00</t>
  </si>
  <si>
    <t>12 Jan '2026</t>
  </si>
  <si>
    <t>Komal Kathuria</t>
  </si>
  <si>
    <t>2820 2036 8905 3706 002 - P.A</t>
  </si>
  <si>
    <t>28 Mar '2029</t>
  </si>
  <si>
    <t>2856 2083 6999 7700 000 - Sper Secure - WR/UR</t>
  </si>
  <si>
    <t>Aakriti Singhal - Parents - 3 Yrs</t>
  </si>
  <si>
    <t>R.A - 32336298202604 - Platinum+ SG+</t>
  </si>
  <si>
    <t>20 Mar '2029</t>
  </si>
  <si>
    <t>Jatin Anand - Vinod Kr Anand - 3 Yrs</t>
  </si>
  <si>
    <t>2856 2083 7575 7700 000 - Super Secure / UR</t>
  </si>
  <si>
    <t>25 L - 1 L</t>
  </si>
  <si>
    <t>Ashish - H. Life</t>
  </si>
  <si>
    <t>18 Mar '2027</t>
  </si>
  <si>
    <t>Meetu Khurana</t>
  </si>
  <si>
    <t>2800 0000 2563 6600 000 - Secure / UR</t>
  </si>
  <si>
    <t>23 Mar '2027</t>
  </si>
  <si>
    <t>2820 2036 9176 2406 000 - P.A</t>
  </si>
  <si>
    <t>2856 2062 4215 3602 000 - Secure - UR</t>
  </si>
  <si>
    <t>2805 2038 0237 9406 000 - Optima - UR</t>
  </si>
  <si>
    <t xml:space="preserve">2805 2035 2475 6205 000 - Optima / WR </t>
  </si>
  <si>
    <t>2805 2035 2211 0906 000 - Optima / WB</t>
  </si>
  <si>
    <t>23 Mar '2029</t>
  </si>
  <si>
    <t>2856 2083 8512 1700 000 - Super Secure / UR</t>
  </si>
  <si>
    <t>Garima Gupta - 3 Yrs</t>
  </si>
  <si>
    <t>22 Mar '2027</t>
  </si>
  <si>
    <r>
      <t xml:space="preserve">8146112204117810 - </t>
    </r>
    <r>
      <rPr>
        <sz val="9"/>
        <color theme="1"/>
        <rFont val="Bookman Old Style"/>
        <family val="1"/>
      </rPr>
      <t>Surplus</t>
    </r>
  </si>
  <si>
    <t>1 Cr - 15 L</t>
  </si>
  <si>
    <t>7852111408251986 - CHI</t>
  </si>
  <si>
    <t>CHANCHAL JAIN - Surplus</t>
  </si>
  <si>
    <t>3827111709167389 - Medi.</t>
  </si>
  <si>
    <t>1 Apr '2027</t>
  </si>
  <si>
    <t>AMAN</t>
  </si>
  <si>
    <t>2820 2037 0186 0406 000</t>
  </si>
  <si>
    <t>2856 2062 4666 9602 000 - Secure / UR</t>
  </si>
  <si>
    <t>2805 2035 4075 1506 000 - Optima</t>
  </si>
  <si>
    <t>2820 2036 9091 1206 000 - P.A</t>
  </si>
  <si>
    <t>3079111808434891 - Assure</t>
  </si>
  <si>
    <t>NARESH KUMAR SHARMA - B. Shahr</t>
  </si>
  <si>
    <t>HARENDER SINGH - 2 Yrs -</t>
  </si>
  <si>
    <t xml:space="preserve"> 2026 - 2028</t>
  </si>
  <si>
    <t>5 Apl '2026</t>
  </si>
  <si>
    <t>3367 2083 9303 6400 000 - Travel</t>
  </si>
  <si>
    <t>Anju Dhawan - Travel</t>
  </si>
  <si>
    <t>2856 2062 4122 5802 000 - Secure - UR</t>
  </si>
  <si>
    <t>Rupali Mehra - Travel</t>
  </si>
  <si>
    <t>3367 2083 9291 3700 000 - Travel</t>
  </si>
  <si>
    <t>40 K USD</t>
  </si>
  <si>
    <t>8504111610595477 - CHI</t>
  </si>
  <si>
    <t>2805 2035 3551 5606 000 - Optima</t>
  </si>
  <si>
    <t>2805 2035 1520 3606 000 - Optima - UR</t>
  </si>
  <si>
    <t xml:space="preserve">2806 2035 7016 5006 000 - Easy </t>
  </si>
  <si>
    <t>9 Apl '2027</t>
  </si>
  <si>
    <t>2805 2035 3509 5004 000 - Optima - UR</t>
  </si>
  <si>
    <t>29 Mar '2029</t>
  </si>
  <si>
    <t>Gagan Jhamb - 3 Yrs</t>
  </si>
  <si>
    <t>2856 2053 3698 2901 000 - Secure - UR</t>
  </si>
  <si>
    <t>2805 2035 4610 7306 000 - Optima - UR</t>
  </si>
  <si>
    <t xml:space="preserve">2820 2036 9566 3306 000 - P.A </t>
  </si>
  <si>
    <t>2805 2035 3392 6106 000- Optima - UR</t>
  </si>
  <si>
    <t>2805 2053 0223 2602 000 - Optima - UR</t>
  </si>
  <si>
    <t xml:space="preserve">2805 2035 2716 2803 000 - P.A </t>
  </si>
  <si>
    <t>Ritu Jain - 2 Yrs</t>
  </si>
  <si>
    <t>Port Other</t>
  </si>
  <si>
    <t xml:space="preserve">20 L - 25 K </t>
  </si>
  <si>
    <t>H.R - 32389382202602</t>
  </si>
  <si>
    <t>14 Apl '2027</t>
  </si>
  <si>
    <t>R.A-2.0 - 32389407202602 - Bronze+ SG+ DM</t>
  </si>
  <si>
    <t>131 622 628 2400 27695</t>
  </si>
  <si>
    <t>Kiran Bharat Sanghvi</t>
  </si>
  <si>
    <t>Tanupama Singh</t>
  </si>
  <si>
    <t>30.03.2027</t>
  </si>
  <si>
    <t>2805 2035 9138 2706 000 - Optima / WR / UR</t>
  </si>
  <si>
    <t>7 Apl '2027</t>
  </si>
  <si>
    <t>2820 2036 9907 8606 000 - P.A</t>
  </si>
  <si>
    <t>2805 2035 3571 5806 000 - Optima - UR</t>
  </si>
  <si>
    <t>Ashish Gambhir - 3 Yrs</t>
  </si>
  <si>
    <t>30 Mar '2029</t>
  </si>
  <si>
    <t>2800 0000 2832 5000 000 - Super Secure / UR</t>
  </si>
  <si>
    <t>25 L - 2 L</t>
  </si>
  <si>
    <t xml:space="preserve">Ashish </t>
  </si>
  <si>
    <t>23251118080816 36</t>
  </si>
  <si>
    <t>Aspire - 34822561202600 - Gold+ SG+</t>
  </si>
  <si>
    <t>SUSHIL KUMAR</t>
  </si>
  <si>
    <t>Aspire - 34940856202600 - Gold+SG+ DM Gold</t>
  </si>
  <si>
    <r>
      <t xml:space="preserve">HEMLATA        -      </t>
    </r>
    <r>
      <rPr>
        <b/>
        <sz val="12"/>
        <color rgb="FFFF0000"/>
        <rFont val="Bookman Old Style"/>
        <family val="1"/>
      </rPr>
      <t xml:space="preserve"> ENDO</t>
    </r>
  </si>
  <si>
    <t xml:space="preserve">Super Health - </t>
  </si>
  <si>
    <t>SAKET JHA - Chandni Devi</t>
  </si>
  <si>
    <t>Aspire - 35071227202600 - Gold+ SG+</t>
  </si>
  <si>
    <t>01 Apl '2027</t>
  </si>
  <si>
    <t>04 85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</si>
</sst>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"/>
    <numFmt numFmtId="165" formatCode="[$-F800]dddd\,\ mmmm\ dd\,\ yyyy"/>
  </numFmts>
  <fonts count="77">
    <font>
      <sz val="11"/>
      <color indexed="8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FF0000"/>
      <name val="Bookman Old Style"/>
      <family val="1"/>
    </font>
    <font>
      <i/>
      <sz val="10"/>
      <color theme="1"/>
      <name val="Bookman Old Style"/>
      <family val="1"/>
    </font>
    <font>
      <sz val="12"/>
      <color rgb="FFFF0000"/>
      <name val="Bookman Old Style"/>
      <family val="1"/>
    </font>
    <font>
      <b/>
      <sz val="18"/>
      <color theme="1"/>
      <name val="Bookman Old Style"/>
      <family val="1"/>
    </font>
    <font>
      <sz val="11"/>
      <color rgb="FFFF0000"/>
      <name val="Bookman Old Style"/>
      <family val="1"/>
    </font>
    <font>
      <b/>
      <i/>
      <sz val="18"/>
      <color theme="1"/>
      <name val="Bookman Old Style"/>
      <family val="1"/>
    </font>
    <font>
      <sz val="14"/>
      <color theme="1"/>
      <name val="Bookman Old Style"/>
      <family val="1"/>
    </font>
    <font>
      <sz val="14"/>
      <color rgb="FFFF0000"/>
      <name val="Bookman Old Style"/>
      <family val="1"/>
    </font>
    <font>
      <sz val="13"/>
      <color rgb="FFFF0000"/>
      <name val="Bookman Old Style"/>
      <family val="1"/>
    </font>
    <font>
      <b/>
      <sz val="12"/>
      <color theme="1"/>
      <name val="Bookman Old Style"/>
      <family val="1"/>
    </font>
    <font>
      <sz val="15"/>
      <color rgb="FF0000FF"/>
      <name val="Bookman Old Style"/>
      <family val="1"/>
    </font>
    <font>
      <sz val="15"/>
      <color theme="1"/>
      <name val="Bookman Old Style"/>
      <family val="1"/>
    </font>
    <font>
      <b/>
      <sz val="15"/>
      <color rgb="FF0000FF"/>
      <name val="Bookman Old Style"/>
      <family val="1"/>
    </font>
    <font>
      <sz val="12"/>
      <color theme="1"/>
      <name val="Bookman Old Style"/>
      <family val="1"/>
    </font>
    <font>
      <b/>
      <sz val="15"/>
      <color theme="1"/>
      <name val="Bookman Old Style"/>
      <family val="1"/>
    </font>
    <font>
      <b/>
      <sz val="15"/>
      <name val="Bookman Old Style"/>
      <family val="1"/>
    </font>
    <font>
      <b/>
      <sz val="10"/>
      <color theme="1"/>
      <name val="Bookman Old Style"/>
      <family val="1"/>
    </font>
    <font>
      <b/>
      <sz val="14"/>
      <color rgb="FF0000FF"/>
      <name val="Bookman Old Style"/>
      <family val="1"/>
    </font>
    <font>
      <sz val="10"/>
      <color rgb="FF0000FF"/>
      <name val="Bookman Old Style"/>
      <family val="1"/>
    </font>
    <font>
      <b/>
      <sz val="14"/>
      <color theme="1"/>
      <name val="Bookman Old Style"/>
      <family val="1"/>
    </font>
    <font>
      <b/>
      <sz val="10"/>
      <color rgb="FFFF0000"/>
      <name val="Bookman Old Style"/>
      <family val="1"/>
    </font>
    <font>
      <sz val="10"/>
      <color indexed="8"/>
      <name val="Bookman Old Style"/>
      <family val="1"/>
    </font>
    <font>
      <b/>
      <sz val="13"/>
      <color theme="1"/>
      <name val="Bookman Old Style"/>
      <family val="1"/>
    </font>
    <font>
      <b/>
      <sz val="13"/>
      <color rgb="FF0000FF"/>
      <name val="Bookman Old Style"/>
      <family val="1"/>
    </font>
    <font>
      <sz val="11"/>
      <color theme="1"/>
      <name val="Bookman Old Style"/>
      <family val="1"/>
    </font>
    <font>
      <b/>
      <sz val="20"/>
      <color theme="1"/>
      <name val="Bookman Old Style"/>
      <family val="1"/>
    </font>
    <font>
      <sz val="13"/>
      <color theme="1"/>
      <name val="Bookman Old Style"/>
      <family val="1"/>
    </font>
    <font>
      <sz val="13"/>
      <name val="Bookman Old Style"/>
      <family val="1"/>
    </font>
    <font>
      <b/>
      <sz val="18"/>
      <color rgb="FF0000FF"/>
      <name val="Bookman Old Style"/>
      <family val="1"/>
    </font>
    <font>
      <sz val="12"/>
      <name val="Bookman Old Style"/>
      <family val="1"/>
    </font>
    <font>
      <b/>
      <sz val="10"/>
      <color rgb="FF00B050"/>
      <name val="Bookman Old Style"/>
      <family val="1"/>
    </font>
    <font>
      <sz val="11"/>
      <name val="Bookman Old Style"/>
      <family val="1"/>
    </font>
    <font>
      <b/>
      <sz val="12"/>
      <color rgb="FF0000FF"/>
      <name val="Bookman Old Style"/>
      <family val="1"/>
    </font>
    <font>
      <b/>
      <sz val="11"/>
      <color theme="1"/>
      <name val="Bookman Old Style"/>
      <family val="1"/>
    </font>
    <font>
      <sz val="12"/>
      <color rgb="FF0000FF"/>
      <name val="Bookman Old Style"/>
      <family val="1"/>
    </font>
    <font>
      <sz val="14"/>
      <name val="Bookman Old Style"/>
      <family val="1"/>
    </font>
    <font>
      <b/>
      <sz val="12"/>
      <color indexed="8"/>
      <name val="Bookman Old Style"/>
      <family val="1"/>
    </font>
    <font>
      <b/>
      <sz val="20"/>
      <color rgb="FF0000FF"/>
      <name val="Bookman Old Style"/>
      <family val="1"/>
    </font>
    <font>
      <b/>
      <sz val="17"/>
      <color rgb="FF0000FF"/>
      <name val="Bookman Old Style"/>
      <family val="1"/>
    </font>
    <font>
      <b/>
      <sz val="12"/>
      <name val="Bookman Old Style"/>
      <family val="1"/>
    </font>
    <font>
      <b/>
      <sz val="14"/>
      <name val="Bookman Old Style"/>
      <family val="1"/>
    </font>
    <font>
      <b/>
      <sz val="10"/>
      <color rgb="FF0000FF"/>
      <name val="Bookman Old Style"/>
      <family val="1"/>
    </font>
    <font>
      <b/>
      <sz val="20"/>
      <name val="Bookman Old Style"/>
      <family val="1"/>
    </font>
    <font>
      <sz val="8"/>
      <color theme="1"/>
      <name val="Bookman Old Style"/>
      <family val="1"/>
    </font>
    <font>
      <sz val="10"/>
      <color theme="1"/>
      <name val="Bookman Old Style"/>
      <family val="1"/>
    </font>
    <font>
      <sz val="14"/>
      <color theme="1"/>
      <name val="Bookman Old Style"/>
      <family val="1"/>
    </font>
    <font>
      <sz val="11"/>
      <color theme="1"/>
      <name val="Bookman Old Style"/>
      <family val="1"/>
    </font>
    <font>
      <sz val="13"/>
      <color theme="1"/>
      <name val="Bookman Old Style"/>
      <family val="1"/>
    </font>
    <font>
      <sz val="12"/>
      <color theme="1"/>
      <name val="Bookman Old Style"/>
      <family val="1"/>
    </font>
    <font>
      <b/>
      <sz val="22"/>
      <color rgb="FFFF0000"/>
      <name val="Bookman Old Style"/>
      <family val="1"/>
    </font>
    <font>
      <b/>
      <sz val="14"/>
      <name val="Bookman Old Style"/>
      <family val="1"/>
    </font>
    <font>
      <b/>
      <sz val="13"/>
      <name val="Bookman Old Style"/>
      <family val="1"/>
    </font>
    <font>
      <b/>
      <sz val="22"/>
      <color rgb="FF0000FF"/>
      <name val="Bookman Old Style"/>
      <family val="1"/>
    </font>
    <font>
      <b/>
      <sz val="12"/>
      <color rgb="FF0000FF"/>
      <name val="Bookman Old Style"/>
      <family val="1"/>
    </font>
    <font>
      <b/>
      <sz val="12"/>
      <color rgb="FFFF0000"/>
      <name val="Bookman Old Style"/>
      <family val="1"/>
    </font>
    <font>
      <b/>
      <sz val="12"/>
      <color theme="1"/>
      <name val="Bookman Old Style"/>
      <family val="1"/>
    </font>
    <font>
      <b/>
      <sz val="20"/>
      <color rgb="FF0000FF"/>
      <name val="Bookman Old Style"/>
      <family val="1"/>
    </font>
    <font>
      <b/>
      <sz val="22"/>
      <color theme="1"/>
      <name val="Bookman Old Style"/>
      <family val="1"/>
    </font>
    <font>
      <sz val="8"/>
      <color rgb="FFFF0000"/>
      <name val="Bookman Old Style"/>
      <family val="1"/>
    </font>
    <font>
      <sz val="9"/>
      <name val="Bookman Old Style"/>
      <family val="1"/>
    </font>
    <font>
      <b/>
      <sz val="22"/>
      <name val="Bookman Old Style"/>
      <family val="1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FF"/>
      <name val="Bookman Old Style"/>
      <family val="1"/>
    </font>
    <font>
      <b/>
      <sz val="13"/>
      <color rgb="FFFF0000"/>
      <name val="Bookman Old Style"/>
      <family val="1"/>
    </font>
    <font>
      <b/>
      <sz val="14"/>
      <color rgb="FFFF0000"/>
      <name val="Bookman Old Style"/>
      <family val="1"/>
    </font>
    <font>
      <b/>
      <sz val="15"/>
      <color rgb="FFFF0000"/>
      <name val="Bookman Old Style"/>
      <family val="1"/>
    </font>
    <font>
      <sz val="15"/>
      <color rgb="FFFF0000"/>
      <name val="Bookman Old Style"/>
      <family val="1"/>
    </font>
    <font>
      <sz val="9"/>
      <color theme="1"/>
      <name val="Bookman Old Style"/>
      <family val="1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99193"/>
        <bgColor indexed="64"/>
      </patternFill>
    </fill>
    <fill>
      <patternFill patternType="solid">
        <fgColor rgb="FFD4DCAE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C988E"/>
        <bgColor indexed="64"/>
      </patternFill>
    </fill>
    <fill>
      <patternFill patternType="solid">
        <fgColor rgb="FF8AAEFE"/>
        <bgColor indexed="64"/>
      </patternFill>
    </fill>
    <fill>
      <patternFill patternType="solid">
        <fgColor rgb="FF9BE7E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AEEFA"/>
        <bgColor indexed="64"/>
      </patternFill>
    </fill>
  </fills>
  <borders count="10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dotted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indexed="64"/>
      </left>
      <right style="dotted">
        <color auto="1"/>
      </right>
      <top style="medium">
        <color auto="1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hair">
        <color indexed="64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66" fillId="0" borderId="0"/>
    <xf numFmtId="0" fontId="67" fillId="0" borderId="0"/>
    <xf numFmtId="0" fontId="65" fillId="0" borderId="0"/>
    <xf numFmtId="0" fontId="68" fillId="0" borderId="0"/>
  </cellStyleXfs>
  <cellXfs count="12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164" fontId="2" fillId="0" borderId="8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164" fontId="2" fillId="4" borderId="8" xfId="0" applyNumberFormat="1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12" fillId="0" borderId="9" xfId="0" applyFont="1" applyBorder="1"/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2" fillId="7" borderId="29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/>
    </xf>
    <xf numFmtId="0" fontId="15" fillId="0" borderId="3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4" borderId="0" xfId="0" applyFont="1" applyFill="1"/>
    <xf numFmtId="0" fontId="17" fillId="0" borderId="0" xfId="0" applyFont="1" applyAlignment="1">
      <alignment vertical="center"/>
    </xf>
    <xf numFmtId="0" fontId="18" fillId="0" borderId="0" xfId="0" applyFont="1"/>
    <xf numFmtId="0" fontId="2" fillId="0" borderId="0" xfId="0" applyFont="1" applyAlignment="1">
      <alignment horizontal="center"/>
    </xf>
    <xf numFmtId="0" fontId="20" fillId="4" borderId="4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/>
    </xf>
    <xf numFmtId="3" fontId="17" fillId="4" borderId="8" xfId="0" applyNumberFormat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164" fontId="17" fillId="4" borderId="8" xfId="0" applyNumberFormat="1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left" vertical="center"/>
    </xf>
    <xf numFmtId="3" fontId="17" fillId="4" borderId="12" xfId="0" applyNumberFormat="1" applyFont="1" applyFill="1" applyBorder="1" applyAlignment="1">
      <alignment horizontal="center" vertical="center"/>
    </xf>
    <xf numFmtId="164" fontId="17" fillId="4" borderId="12" xfId="0" applyNumberFormat="1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3" fontId="18" fillId="9" borderId="30" xfId="0" applyNumberFormat="1" applyFont="1" applyFill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/>
    </xf>
    <xf numFmtId="0" fontId="2" fillId="8" borderId="29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left" vertical="center" wrapText="1"/>
    </xf>
    <xf numFmtId="0" fontId="2" fillId="8" borderId="31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4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4" fontId="3" fillId="4" borderId="8" xfId="0" applyNumberFormat="1" applyFont="1" applyFill="1" applyBorder="1" applyAlignment="1">
      <alignment horizontal="center" vertical="center"/>
    </xf>
    <xf numFmtId="4" fontId="2" fillId="4" borderId="8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3" fontId="26" fillId="7" borderId="3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2" fontId="27" fillId="0" borderId="0" xfId="0" applyNumberFormat="1" applyFont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/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/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/>
    <xf numFmtId="2" fontId="2" fillId="0" borderId="0" xfId="0" applyNumberFormat="1" applyFont="1"/>
    <xf numFmtId="0" fontId="28" fillId="0" borderId="0" xfId="0" applyFont="1"/>
    <xf numFmtId="0" fontId="28" fillId="10" borderId="42" xfId="0" applyFont="1" applyFill="1" applyBorder="1" applyAlignment="1">
      <alignment horizontal="center" vertical="center"/>
    </xf>
    <xf numFmtId="0" fontId="28" fillId="10" borderId="43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30" fillId="4" borderId="8" xfId="0" applyFont="1" applyFill="1" applyBorder="1" applyAlignment="1">
      <alignment horizontal="left" vertical="center"/>
    </xf>
    <xf numFmtId="164" fontId="10" fillId="4" borderId="8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17" fillId="0" borderId="0" xfId="0" applyFont="1"/>
    <xf numFmtId="0" fontId="2" fillId="9" borderId="29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164" fontId="33" fillId="0" borderId="1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164" fontId="17" fillId="4" borderId="2" xfId="0" applyNumberFormat="1" applyFont="1" applyFill="1" applyBorder="1" applyAlignment="1">
      <alignment horizontal="center" vertical="center"/>
    </xf>
    <xf numFmtId="3" fontId="17" fillId="4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14" xfId="0" applyFont="1" applyBorder="1" applyAlignment="1">
      <alignment horizontal="center" vertical="center" wrapText="1"/>
    </xf>
    <xf numFmtId="3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 wrapText="1"/>
    </xf>
    <xf numFmtId="0" fontId="17" fillId="0" borderId="46" xfId="0" applyFont="1" applyBorder="1" applyAlignment="1">
      <alignment horizontal="center" vertical="center"/>
    </xf>
    <xf numFmtId="0" fontId="17" fillId="0" borderId="45" xfId="0" applyFont="1" applyBorder="1" applyAlignment="1">
      <alignment horizontal="left" vertical="center"/>
    </xf>
    <xf numFmtId="0" fontId="17" fillId="0" borderId="49" xfId="0" applyFont="1" applyBorder="1" applyAlignment="1">
      <alignment horizontal="center" vertical="center" wrapText="1"/>
    </xf>
    <xf numFmtId="3" fontId="17" fillId="0" borderId="45" xfId="0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 applyAlignment="1">
      <alignment horizontal="left" vertical="center" wrapText="1"/>
    </xf>
    <xf numFmtId="15" fontId="17" fillId="0" borderId="8" xfId="0" applyNumberFormat="1" applyFont="1" applyBorder="1" applyAlignment="1">
      <alignment horizontal="left" vertical="center"/>
    </xf>
    <xf numFmtId="164" fontId="17" fillId="0" borderId="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164" fontId="33" fillId="4" borderId="2" xfId="0" applyNumberFormat="1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left" vertical="center"/>
    </xf>
    <xf numFmtId="164" fontId="33" fillId="4" borderId="8" xfId="0" applyNumberFormat="1" applyFont="1" applyFill="1" applyBorder="1" applyAlignment="1">
      <alignment horizontal="center" vertical="center"/>
    </xf>
    <xf numFmtId="3" fontId="17" fillId="4" borderId="14" xfId="0" applyNumberFormat="1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 wrapText="1"/>
    </xf>
    <xf numFmtId="0" fontId="17" fillId="4" borderId="46" xfId="0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left" vertical="center"/>
    </xf>
    <xf numFmtId="164" fontId="33" fillId="4" borderId="45" xfId="0" applyNumberFormat="1" applyFont="1" applyFill="1" applyBorder="1" applyAlignment="1">
      <alignment horizontal="center" vertical="center"/>
    </xf>
    <xf numFmtId="3" fontId="17" fillId="4" borderId="45" xfId="0" applyNumberFormat="1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2" fillId="9" borderId="31" xfId="0" applyFont="1" applyFill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4" borderId="9" xfId="0" applyFont="1" applyFill="1" applyBorder="1" applyAlignment="1">
      <alignment vertical="center"/>
    </xf>
    <xf numFmtId="0" fontId="6" fillId="4" borderId="47" xfId="0" applyFont="1" applyFill="1" applyBorder="1" applyAlignment="1">
      <alignment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52" xfId="0" applyFont="1" applyBorder="1" applyAlignment="1">
      <alignment horizontal="left" vertical="center" wrapText="1"/>
    </xf>
    <xf numFmtId="0" fontId="2" fillId="0" borderId="59" xfId="0" applyFont="1" applyBorder="1"/>
    <xf numFmtId="0" fontId="2" fillId="0" borderId="58" xfId="0" applyFont="1" applyBorder="1"/>
    <xf numFmtId="2" fontId="16" fillId="0" borderId="58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horizontal="center"/>
    </xf>
    <xf numFmtId="0" fontId="2" fillId="11" borderId="31" xfId="0" applyFont="1" applyFill="1" applyBorder="1" applyAlignment="1">
      <alignment horizontal="center" vertical="center"/>
    </xf>
    <xf numFmtId="0" fontId="2" fillId="0" borderId="65" xfId="0" applyFont="1" applyBorder="1"/>
    <xf numFmtId="0" fontId="28" fillId="0" borderId="8" xfId="0" applyFont="1" applyBorder="1" applyAlignment="1">
      <alignment horizontal="left" vertical="center"/>
    </xf>
    <xf numFmtId="0" fontId="28" fillId="4" borderId="14" xfId="0" applyFont="1" applyFill="1" applyBorder="1" applyAlignment="1">
      <alignment horizontal="left" vertical="center"/>
    </xf>
    <xf numFmtId="0" fontId="28" fillId="4" borderId="8" xfId="0" applyFont="1" applyFill="1" applyBorder="1" applyAlignment="1">
      <alignment horizontal="left" vertical="center"/>
    </xf>
    <xf numFmtId="0" fontId="28" fillId="4" borderId="45" xfId="0" applyFont="1" applyFill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45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9" xfId="0" applyFont="1" applyBorder="1" applyAlignment="1">
      <alignment vertical="center"/>
    </xf>
    <xf numFmtId="0" fontId="10" fillId="0" borderId="0" xfId="0" applyFont="1"/>
    <xf numFmtId="0" fontId="2" fillId="12" borderId="30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/>
    </xf>
    <xf numFmtId="164" fontId="2" fillId="0" borderId="22" xfId="0" applyNumberFormat="1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left" vertical="center"/>
    </xf>
    <xf numFmtId="164" fontId="2" fillId="0" borderId="53" xfId="0" applyNumberFormat="1" applyFont="1" applyBorder="1" applyAlignment="1">
      <alignment horizontal="center" vertical="center"/>
    </xf>
    <xf numFmtId="3" fontId="2" fillId="0" borderId="53" xfId="0" applyNumberFormat="1" applyFont="1" applyBorder="1" applyAlignment="1">
      <alignment horizontal="center" vertical="center"/>
    </xf>
    <xf numFmtId="0" fontId="36" fillId="4" borderId="5" xfId="0" applyFont="1" applyFill="1" applyBorder="1" applyAlignment="1">
      <alignment vertical="center" wrapText="1"/>
    </xf>
    <xf numFmtId="164" fontId="2" fillId="0" borderId="24" xfId="0" applyNumberFormat="1" applyFont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4" fontId="2" fillId="0" borderId="56" xfId="0" applyNumberFormat="1" applyFont="1" applyBorder="1" applyAlignment="1">
      <alignment horizontal="center" vertical="center"/>
    </xf>
    <xf numFmtId="3" fontId="2" fillId="0" borderId="56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16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36" fillId="4" borderId="6" xfId="0" applyFont="1" applyFill="1" applyBorder="1" applyAlignment="1">
      <alignment vertical="center" wrapText="1"/>
    </xf>
    <xf numFmtId="0" fontId="2" fillId="0" borderId="6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22" xfId="0" applyNumberFormat="1" applyFont="1" applyBorder="1" applyAlignment="1">
      <alignment horizontal="left" vertical="center" wrapText="1"/>
    </xf>
    <xf numFmtId="0" fontId="2" fillId="4" borderId="2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left" vertical="center" wrapText="1"/>
    </xf>
    <xf numFmtId="3" fontId="3" fillId="4" borderId="22" xfId="0" applyNumberFormat="1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63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0" xfId="0" applyFont="1" applyBorder="1" applyAlignment="1">
      <alignment horizontal="center" vertical="center"/>
    </xf>
    <xf numFmtId="0" fontId="2" fillId="0" borderId="80" xfId="0" applyFont="1" applyBorder="1" applyAlignment="1">
      <alignment horizontal="left" vertical="center"/>
    </xf>
    <xf numFmtId="3" fontId="2" fillId="0" borderId="80" xfId="0" applyNumberFormat="1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3" fontId="2" fillId="0" borderId="52" xfId="0" applyNumberFormat="1" applyFont="1" applyBorder="1" applyAlignment="1">
      <alignment horizontal="center" vertical="center"/>
    </xf>
    <xf numFmtId="0" fontId="18" fillId="13" borderId="66" xfId="0" applyFont="1" applyFill="1" applyBorder="1" applyAlignment="1">
      <alignment horizontal="left" vertical="center"/>
    </xf>
    <xf numFmtId="3" fontId="37" fillId="13" borderId="30" xfId="0" applyNumberFormat="1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3" fillId="13" borderId="6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3" fillId="0" borderId="0" xfId="0" applyFont="1"/>
    <xf numFmtId="0" fontId="17" fillId="4" borderId="0" xfId="0" applyFont="1" applyFill="1"/>
    <xf numFmtId="0" fontId="38" fillId="0" borderId="0" xfId="0" applyFont="1"/>
    <xf numFmtId="0" fontId="17" fillId="14" borderId="30" xfId="0" applyFont="1" applyFill="1" applyBorder="1" applyAlignment="1">
      <alignment horizontal="center" vertical="center"/>
    </xf>
    <xf numFmtId="0" fontId="17" fillId="14" borderId="30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/>
    </xf>
    <xf numFmtId="164" fontId="39" fillId="0" borderId="8" xfId="0" applyNumberFormat="1" applyFont="1" applyBorder="1" applyAlignment="1">
      <alignment horizontal="center" vertical="center"/>
    </xf>
    <xf numFmtId="3" fontId="39" fillId="0" borderId="8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3" fontId="28" fillId="0" borderId="8" xfId="0" applyNumberFormat="1" applyFont="1" applyBorder="1" applyAlignment="1">
      <alignment horizontal="center" vertical="center" wrapText="1"/>
    </xf>
    <xf numFmtId="0" fontId="18" fillId="14" borderId="5" xfId="0" applyFont="1" applyFill="1" applyBorder="1" applyAlignment="1">
      <alignment vertical="center"/>
    </xf>
    <xf numFmtId="0" fontId="18" fillId="14" borderId="5" xfId="0" applyFont="1" applyFill="1" applyBorder="1" applyAlignment="1">
      <alignment horizontal="right" vertical="center"/>
    </xf>
    <xf numFmtId="0" fontId="40" fillId="0" borderId="5" xfId="0" applyFont="1" applyBorder="1" applyAlignment="1">
      <alignment vertical="center"/>
    </xf>
    <xf numFmtId="0" fontId="30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center" vertical="center"/>
    </xf>
    <xf numFmtId="0" fontId="17" fillId="14" borderId="31" xfId="0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vertical="center"/>
    </xf>
    <xf numFmtId="0" fontId="40" fillId="0" borderId="6" xfId="0" applyFont="1" applyBorder="1" applyAlignment="1">
      <alignment vertical="center"/>
    </xf>
    <xf numFmtId="0" fontId="30" fillId="0" borderId="9" xfId="0" applyFont="1" applyBorder="1"/>
    <xf numFmtId="0" fontId="30" fillId="0" borderId="9" xfId="0" applyFont="1" applyBorder="1" applyAlignment="1">
      <alignment horizontal="left" vertical="center" wrapText="1"/>
    </xf>
    <xf numFmtId="164" fontId="10" fillId="0" borderId="45" xfId="0" applyNumberFormat="1" applyFont="1" applyBorder="1" applyAlignment="1">
      <alignment horizontal="center" vertical="center"/>
    </xf>
    <xf numFmtId="3" fontId="10" fillId="0" borderId="45" xfId="0" applyNumberFormat="1" applyFont="1" applyBorder="1" applyAlignment="1">
      <alignment horizontal="center" vertical="center"/>
    </xf>
    <xf numFmtId="0" fontId="30" fillId="0" borderId="45" xfId="0" applyFont="1" applyBorder="1" applyAlignment="1">
      <alignment horizontal="left" vertical="center" wrapText="1"/>
    </xf>
    <xf numFmtId="164" fontId="10" fillId="0" borderId="14" xfId="0" applyNumberFormat="1" applyFont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left" vertical="center"/>
    </xf>
    <xf numFmtId="3" fontId="30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3" fontId="31" fillId="0" borderId="8" xfId="0" applyNumberFormat="1" applyFont="1" applyBorder="1" applyAlignment="1">
      <alignment horizontal="center" vertical="center"/>
    </xf>
    <xf numFmtId="0" fontId="30" fillId="0" borderId="47" xfId="0" applyFont="1" applyBorder="1"/>
    <xf numFmtId="0" fontId="13" fillId="0" borderId="5" xfId="0" applyFont="1" applyBorder="1" applyAlignment="1">
      <alignment vertical="center"/>
    </xf>
    <xf numFmtId="0" fontId="30" fillId="4" borderId="45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31" fillId="0" borderId="9" xfId="0" applyFont="1" applyBorder="1"/>
    <xf numFmtId="0" fontId="30" fillId="0" borderId="9" xfId="0" applyFont="1" applyBorder="1" applyAlignment="1">
      <alignment horizontal="center"/>
    </xf>
    <xf numFmtId="0" fontId="30" fillId="4" borderId="8" xfId="0" applyFont="1" applyFill="1" applyBorder="1" applyAlignment="1">
      <alignment horizontal="left" vertical="center" wrapText="1"/>
    </xf>
    <xf numFmtId="164" fontId="30" fillId="0" borderId="8" xfId="0" applyNumberFormat="1" applyFont="1" applyBorder="1" applyAlignment="1">
      <alignment horizontal="center" vertical="center"/>
    </xf>
    <xf numFmtId="0" fontId="30" fillId="4" borderId="9" xfId="0" applyFont="1" applyFill="1" applyBorder="1"/>
    <xf numFmtId="0" fontId="35" fillId="4" borderId="8" xfId="0" applyFont="1" applyFill="1" applyBorder="1" applyAlignment="1">
      <alignment horizontal="left" vertical="center"/>
    </xf>
    <xf numFmtId="3" fontId="39" fillId="4" borderId="8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 wrapText="1"/>
    </xf>
    <xf numFmtId="164" fontId="28" fillId="0" borderId="14" xfId="0" applyNumberFormat="1" applyFont="1" applyBorder="1" applyAlignment="1">
      <alignment horizontal="left" vertical="center"/>
    </xf>
    <xf numFmtId="0" fontId="30" fillId="4" borderId="45" xfId="0" applyFont="1" applyFill="1" applyBorder="1" applyAlignment="1">
      <alignment horizontal="left" vertical="center" wrapText="1"/>
    </xf>
    <xf numFmtId="0" fontId="30" fillId="0" borderId="10" xfId="0" applyFont="1" applyBorder="1"/>
    <xf numFmtId="0" fontId="30" fillId="0" borderId="12" xfId="0" applyFont="1" applyBorder="1" applyAlignment="1">
      <alignment horizontal="center" vertical="center"/>
    </xf>
    <xf numFmtId="164" fontId="10" fillId="4" borderId="45" xfId="0" applyNumberFormat="1" applyFont="1" applyFill="1" applyBorder="1" applyAlignment="1">
      <alignment horizontal="center" vertical="center"/>
    </xf>
    <xf numFmtId="3" fontId="10" fillId="4" borderId="45" xfId="0" applyNumberFormat="1" applyFont="1" applyFill="1" applyBorder="1" applyAlignment="1">
      <alignment horizontal="center" vertical="center"/>
    </xf>
    <xf numFmtId="0" fontId="41" fillId="14" borderId="66" xfId="0" applyFont="1" applyFill="1" applyBorder="1" applyAlignment="1">
      <alignment horizontal="left" vertical="center"/>
    </xf>
    <xf numFmtId="3" fontId="21" fillId="14" borderId="30" xfId="0" applyNumberFormat="1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left" vertical="center"/>
    </xf>
    <xf numFmtId="2" fontId="42" fillId="0" borderId="0" xfId="0" applyNumberFormat="1" applyFont="1" applyAlignment="1">
      <alignment horizontal="center" vertical="center"/>
    </xf>
    <xf numFmtId="2" fontId="17" fillId="0" borderId="0" xfId="0" applyNumberFormat="1" applyFont="1"/>
    <xf numFmtId="0" fontId="30" fillId="4" borderId="47" xfId="0" applyFont="1" applyFill="1" applyBorder="1"/>
    <xf numFmtId="0" fontId="36" fillId="14" borderId="6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5" borderId="49" xfId="0" applyFont="1" applyFill="1" applyBorder="1" applyAlignment="1">
      <alignment horizontal="center" vertical="center"/>
    </xf>
    <xf numFmtId="0" fontId="3" fillId="15" borderId="49" xfId="0" applyFont="1" applyFill="1" applyBorder="1" applyAlignment="1">
      <alignment horizontal="center" vertical="center" wrapText="1"/>
    </xf>
    <xf numFmtId="0" fontId="3" fillId="15" borderId="73" xfId="0" applyFont="1" applyFill="1" applyBorder="1" applyAlignment="1">
      <alignment horizontal="center" vertical="center"/>
    </xf>
    <xf numFmtId="0" fontId="28" fillId="0" borderId="8" xfId="0" applyFont="1" applyBorder="1" applyAlignment="1">
      <alignment vertical="center"/>
    </xf>
    <xf numFmtId="14" fontId="28" fillId="0" borderId="8" xfId="0" applyNumberFormat="1" applyFont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3" fontId="28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28" fillId="0" borderId="45" xfId="0" applyFont="1" applyBorder="1" applyAlignment="1">
      <alignment vertical="center"/>
    </xf>
    <xf numFmtId="14" fontId="28" fillId="0" borderId="45" xfId="0" applyNumberFormat="1" applyFont="1" applyBorder="1" applyAlignment="1">
      <alignment horizontal="center" vertical="center"/>
    </xf>
    <xf numFmtId="0" fontId="28" fillId="0" borderId="75" xfId="0" applyFont="1" applyBorder="1" applyAlignment="1">
      <alignment vertical="center"/>
    </xf>
    <xf numFmtId="0" fontId="28" fillId="0" borderId="8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15" borderId="31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5" xfId="0" applyFont="1" applyBorder="1" applyAlignment="1">
      <alignment horizontal="center" vertical="center"/>
    </xf>
    <xf numFmtId="0" fontId="2" fillId="0" borderId="75" xfId="0" applyFont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14" fontId="2" fillId="0" borderId="8" xfId="0" applyNumberFormat="1" applyFont="1" applyBorder="1" applyAlignment="1">
      <alignment horizontal="center" vertical="center"/>
    </xf>
    <xf numFmtId="0" fontId="3" fillId="0" borderId="80" xfId="0" applyFont="1" applyBorder="1" applyAlignment="1">
      <alignment vertical="center"/>
    </xf>
    <xf numFmtId="3" fontId="2" fillId="0" borderId="45" xfId="0" applyNumberFormat="1" applyFont="1" applyBorder="1" applyAlignment="1">
      <alignment horizontal="center" vertical="center"/>
    </xf>
    <xf numFmtId="0" fontId="2" fillId="0" borderId="80" xfId="0" applyFont="1" applyBorder="1" applyAlignment="1">
      <alignment vertical="center"/>
    </xf>
    <xf numFmtId="14" fontId="2" fillId="0" borderId="80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3" fontId="45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6" fillId="0" borderId="0" xfId="0" applyFont="1" applyAlignment="1">
      <alignment horizontal="left"/>
    </xf>
    <xf numFmtId="0" fontId="48" fillId="0" borderId="22" xfId="0" applyFont="1" applyBorder="1" applyAlignment="1">
      <alignment horizontal="left" vertical="center" wrapText="1"/>
    </xf>
    <xf numFmtId="164" fontId="48" fillId="0" borderId="22" xfId="0" applyNumberFormat="1" applyFont="1" applyBorder="1" applyAlignment="1">
      <alignment horizontal="center" vertical="center"/>
    </xf>
    <xf numFmtId="3" fontId="48" fillId="0" borderId="22" xfId="0" applyNumberFormat="1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/>
    </xf>
    <xf numFmtId="0" fontId="48" fillId="0" borderId="27" xfId="0" applyFont="1" applyBorder="1" applyAlignment="1">
      <alignment horizontal="left" vertical="center" wrapText="1"/>
    </xf>
    <xf numFmtId="0" fontId="48" fillId="0" borderId="0" xfId="0" applyFont="1"/>
    <xf numFmtId="0" fontId="50" fillId="0" borderId="8" xfId="0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0" fontId="52" fillId="0" borderId="0" xfId="0" applyFont="1"/>
    <xf numFmtId="3" fontId="51" fillId="0" borderId="8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44" fillId="15" borderId="5" xfId="0" applyFont="1" applyFill="1" applyBorder="1" applyAlignment="1">
      <alignment vertical="center" wrapText="1"/>
    </xf>
    <xf numFmtId="0" fontId="44" fillId="15" borderId="6" xfId="0" applyFont="1" applyFill="1" applyBorder="1" applyAlignment="1">
      <alignment vertical="center" wrapText="1"/>
    </xf>
    <xf numFmtId="0" fontId="54" fillId="15" borderId="5" xfId="0" applyFont="1" applyFill="1" applyBorder="1" applyAlignment="1">
      <alignment horizontal="right" vertical="center" wrapText="1"/>
    </xf>
    <xf numFmtId="0" fontId="55" fillId="15" borderId="5" xfId="0" applyFont="1" applyFill="1" applyBorder="1" applyAlignment="1">
      <alignment horizontal="left" vertical="center" wrapText="1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left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165" fontId="49" fillId="0" borderId="8" xfId="0" applyNumberFormat="1" applyFont="1" applyBorder="1" applyAlignment="1">
      <alignment horizontal="center" vertical="center"/>
    </xf>
    <xf numFmtId="0" fontId="51" fillId="4" borderId="8" xfId="0" applyFont="1" applyFill="1" applyBorder="1" applyAlignment="1">
      <alignment horizontal="center" vertical="center"/>
    </xf>
    <xf numFmtId="0" fontId="59" fillId="0" borderId="0" xfId="0" applyFont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14" borderId="2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8" fillId="14" borderId="4" xfId="0" applyFont="1" applyFill="1" applyBorder="1" applyAlignment="1">
      <alignment horizontal="right" vertical="center"/>
    </xf>
    <xf numFmtId="0" fontId="10" fillId="0" borderId="39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0" fillId="0" borderId="81" xfId="0" applyFont="1" applyBorder="1" applyAlignment="1">
      <alignment horizontal="center" vertical="center"/>
    </xf>
    <xf numFmtId="0" fontId="18" fillId="14" borderId="4" xfId="0" applyFont="1" applyFill="1" applyBorder="1" applyAlignment="1">
      <alignment vertical="center"/>
    </xf>
    <xf numFmtId="0" fontId="10" fillId="0" borderId="8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51" fillId="0" borderId="8" xfId="0" applyFont="1" applyBorder="1" applyAlignment="1">
      <alignment horizontal="left" vertical="center" wrapText="1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vertical="center" wrapText="1"/>
    </xf>
    <xf numFmtId="0" fontId="8" fillId="0" borderId="56" xfId="0" applyFont="1" applyBorder="1" applyAlignment="1">
      <alignment horizontal="center" vertical="center"/>
    </xf>
    <xf numFmtId="0" fontId="8" fillId="0" borderId="56" xfId="0" applyFont="1" applyBorder="1" applyAlignment="1">
      <alignment horizontal="left" vertical="center" wrapText="1"/>
    </xf>
    <xf numFmtId="0" fontId="8" fillId="0" borderId="63" xfId="0" applyFont="1" applyBorder="1" applyAlignment="1">
      <alignment horizontal="left" vertical="center" wrapText="1"/>
    </xf>
    <xf numFmtId="0" fontId="17" fillId="0" borderId="69" xfId="0" applyFont="1" applyBorder="1" applyAlignment="1">
      <alignment horizontal="center" vertical="center"/>
    </xf>
    <xf numFmtId="0" fontId="28" fillId="4" borderId="0" xfId="0" applyFont="1" applyFill="1"/>
    <xf numFmtId="0" fontId="2" fillId="12" borderId="29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3" fillId="4" borderId="4" xfId="0" applyFont="1" applyFill="1" applyBorder="1" applyAlignment="1">
      <alignment vertical="center" wrapText="1"/>
    </xf>
    <xf numFmtId="0" fontId="2" fillId="0" borderId="8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13" borderId="29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2" fillId="0" borderId="45" xfId="0" applyFont="1" applyBorder="1" applyAlignment="1">
      <alignment horizontal="left" vertical="center" wrapText="1"/>
    </xf>
    <xf numFmtId="164" fontId="2" fillId="0" borderId="45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2" fillId="0" borderId="51" xfId="0" applyFont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left" vertical="center"/>
    </xf>
    <xf numFmtId="3" fontId="28" fillId="0" borderId="45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 vertical="center"/>
    </xf>
    <xf numFmtId="2" fontId="16" fillId="0" borderId="78" xfId="0" applyNumberFormat="1" applyFont="1" applyBorder="1" applyAlignment="1">
      <alignment horizontal="center" vertical="center"/>
    </xf>
    <xf numFmtId="3" fontId="23" fillId="17" borderId="78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8" fillId="4" borderId="1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" fillId="4" borderId="22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/>
    </xf>
    <xf numFmtId="0" fontId="24" fillId="0" borderId="62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164" fontId="2" fillId="0" borderId="52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center" vertical="center"/>
    </xf>
    <xf numFmtId="3" fontId="30" fillId="0" borderId="45" xfId="0" applyNumberFormat="1" applyFont="1" applyBorder="1" applyAlignment="1">
      <alignment horizontal="center" vertical="center"/>
    </xf>
    <xf numFmtId="0" fontId="4" fillId="0" borderId="62" xfId="0" applyFont="1" applyBorder="1" applyAlignment="1">
      <alignment vertical="center"/>
    </xf>
    <xf numFmtId="0" fontId="4" fillId="0" borderId="63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35" fillId="0" borderId="45" xfId="0" applyFont="1" applyBorder="1" applyAlignment="1">
      <alignment horizontal="left" vertical="center"/>
    </xf>
    <xf numFmtId="164" fontId="39" fillId="0" borderId="45" xfId="0" applyNumberFormat="1" applyFont="1" applyBorder="1" applyAlignment="1">
      <alignment horizontal="center" vertical="center"/>
    </xf>
    <xf numFmtId="3" fontId="39" fillId="0" borderId="45" xfId="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left" vertical="center" wrapText="1"/>
    </xf>
    <xf numFmtId="0" fontId="31" fillId="0" borderId="47" xfId="0" applyFont="1" applyBorder="1"/>
    <xf numFmtId="0" fontId="3" fillId="0" borderId="8" xfId="0" applyFont="1" applyBorder="1" applyAlignment="1">
      <alignment horizontal="left" vertical="center"/>
    </xf>
    <xf numFmtId="164" fontId="31" fillId="0" borderId="8" xfId="0" applyNumberFormat="1" applyFont="1" applyBorder="1" applyAlignment="1">
      <alignment horizontal="center" vertical="center"/>
    </xf>
    <xf numFmtId="164" fontId="30" fillId="0" borderId="14" xfId="0" applyNumberFormat="1" applyFont="1" applyBorder="1" applyAlignment="1">
      <alignment horizontal="center" vertical="center"/>
    </xf>
    <xf numFmtId="3" fontId="2" fillId="0" borderId="27" xfId="0" applyNumberFormat="1" applyFont="1" applyBorder="1" applyAlignment="1">
      <alignment horizontal="left" vertical="center" wrapText="1"/>
    </xf>
    <xf numFmtId="164" fontId="2" fillId="0" borderId="80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4" fontId="2" fillId="0" borderId="14" xfId="0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164" fontId="39" fillId="0" borderId="0" xfId="0" applyNumberFormat="1" applyFont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/>
    <xf numFmtId="0" fontId="39" fillId="0" borderId="4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/>
    </xf>
    <xf numFmtId="14" fontId="3" fillId="0" borderId="14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6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14" fontId="2" fillId="0" borderId="45" xfId="0" applyNumberFormat="1" applyFont="1" applyBorder="1" applyAlignment="1">
      <alignment horizontal="center" vertical="center"/>
    </xf>
    <xf numFmtId="3" fontId="2" fillId="0" borderId="49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83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44" fillId="15" borderId="31" xfId="0" applyFont="1" applyFill="1" applyBorder="1" applyAlignment="1">
      <alignment vertical="center" wrapText="1"/>
    </xf>
    <xf numFmtId="0" fontId="10" fillId="4" borderId="46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7" fillId="14" borderId="66" xfId="0" applyFont="1" applyFill="1" applyBorder="1" applyAlignment="1">
      <alignment horizontal="center" vertical="center"/>
    </xf>
    <xf numFmtId="0" fontId="44" fillId="15" borderId="66" xfId="0" applyFont="1" applyFill="1" applyBorder="1" applyAlignment="1">
      <alignment vertical="center" wrapText="1"/>
    </xf>
    <xf numFmtId="0" fontId="2" fillId="0" borderId="22" xfId="0" applyFont="1" applyBorder="1" applyAlignment="1">
      <alignment vertical="center"/>
    </xf>
    <xf numFmtId="0" fontId="15" fillId="0" borderId="3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/>
    </xf>
    <xf numFmtId="0" fontId="15" fillId="0" borderId="39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/>
    </xf>
    <xf numFmtId="0" fontId="30" fillId="4" borderId="9" xfId="0" applyFont="1" applyFill="1" applyBorder="1" applyAlignment="1">
      <alignment horizontal="left" vertical="center" wrapText="1"/>
    </xf>
    <xf numFmtId="2" fontId="2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4" fontId="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/>
    </xf>
    <xf numFmtId="0" fontId="2" fillId="0" borderId="3" xfId="0" applyFont="1" applyBorder="1"/>
    <xf numFmtId="0" fontId="6" fillId="4" borderId="0" xfId="0" applyFont="1" applyFill="1"/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left" vertical="center"/>
    </xf>
    <xf numFmtId="0" fontId="30" fillId="4" borderId="8" xfId="0" applyFont="1" applyFill="1" applyBorder="1" applyAlignment="1">
      <alignment vertical="center"/>
    </xf>
    <xf numFmtId="0" fontId="31" fillId="0" borderId="45" xfId="0" applyFont="1" applyBorder="1" applyAlignment="1">
      <alignment horizontal="left" vertical="center"/>
    </xf>
    <xf numFmtId="0" fontId="28" fillId="17" borderId="29" xfId="0" applyFont="1" applyFill="1" applyBorder="1" applyAlignment="1">
      <alignment horizontal="center" vertical="center"/>
    </xf>
    <xf numFmtId="0" fontId="28" fillId="17" borderId="30" xfId="0" applyFont="1" applyFill="1" applyBorder="1" applyAlignment="1">
      <alignment horizontal="center" vertical="center"/>
    </xf>
    <xf numFmtId="0" fontId="28" fillId="17" borderId="66" xfId="0" applyFont="1" applyFill="1" applyBorder="1" applyAlignment="1">
      <alignment horizontal="center" vertical="center" wrapText="1"/>
    </xf>
    <xf numFmtId="0" fontId="28" fillId="17" borderId="78" xfId="0" applyFont="1" applyFill="1" applyBorder="1" applyAlignment="1">
      <alignment horizontal="center" vertical="center"/>
    </xf>
    <xf numFmtId="0" fontId="28" fillId="17" borderId="29" xfId="0" applyFont="1" applyFill="1" applyBorder="1" applyAlignment="1">
      <alignment horizontal="center" vertical="center" wrapText="1"/>
    </xf>
    <xf numFmtId="0" fontId="28" fillId="17" borderId="67" xfId="0" applyFont="1" applyFill="1" applyBorder="1" applyAlignment="1">
      <alignment horizontal="center" vertical="center"/>
    </xf>
    <xf numFmtId="0" fontId="28" fillId="17" borderId="31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left" vertical="center"/>
    </xf>
    <xf numFmtId="164" fontId="10" fillId="4" borderId="16" xfId="0" applyNumberFormat="1" applyFont="1" applyFill="1" applyBorder="1" applyAlignment="1">
      <alignment horizontal="center" vertical="center"/>
    </xf>
    <xf numFmtId="3" fontId="10" fillId="4" borderId="40" xfId="0" applyNumberFormat="1" applyFont="1" applyFill="1" applyBorder="1" applyAlignment="1">
      <alignment horizontal="center" vertical="center"/>
    </xf>
    <xf numFmtId="2" fontId="32" fillId="0" borderId="78" xfId="0" applyNumberFormat="1" applyFont="1" applyBorder="1" applyAlignment="1">
      <alignment horizontal="center" vertical="center"/>
    </xf>
    <xf numFmtId="0" fontId="58" fillId="4" borderId="0" xfId="0" applyFont="1" applyFill="1" applyAlignment="1">
      <alignment horizontal="center"/>
    </xf>
    <xf numFmtId="0" fontId="10" fillId="4" borderId="45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2" fillId="4" borderId="47" xfId="0" applyFont="1" applyFill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5" borderId="8" xfId="0" applyFont="1" applyFill="1" applyBorder="1" applyAlignment="1">
      <alignment horizontal="center" vertical="center"/>
    </xf>
    <xf numFmtId="0" fontId="30" fillId="5" borderId="14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left" vertical="center" wrapText="1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0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15" borderId="81" xfId="0" applyFont="1" applyFill="1" applyBorder="1" applyAlignment="1">
      <alignment horizontal="center" vertical="center"/>
    </xf>
    <xf numFmtId="0" fontId="37" fillId="15" borderId="4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8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64" fontId="11" fillId="0" borderId="8" xfId="0" applyNumberFormat="1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2" fillId="11" borderId="66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2" fillId="11" borderId="67" xfId="0" applyFont="1" applyFill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2" fillId="11" borderId="78" xfId="0" applyFont="1" applyFill="1" applyBorder="1" applyAlignment="1">
      <alignment horizontal="center" vertical="center"/>
    </xf>
    <xf numFmtId="3" fontId="8" fillId="0" borderId="95" xfId="0" applyNumberFormat="1" applyFont="1" applyBorder="1" applyAlignment="1">
      <alignment horizontal="center" vertical="center"/>
    </xf>
    <xf numFmtId="3" fontId="8" fillId="0" borderId="96" xfId="0" applyNumberFormat="1" applyFont="1" applyBorder="1" applyAlignment="1">
      <alignment horizontal="center" vertical="center"/>
    </xf>
    <xf numFmtId="3" fontId="23" fillId="11" borderId="78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57" xfId="0" applyFont="1" applyBorder="1" applyAlignment="1">
      <alignment vertical="center" wrapText="1"/>
    </xf>
    <xf numFmtId="3" fontId="8" fillId="0" borderId="88" xfId="0" applyNumberFormat="1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7" xfId="0" applyFont="1" applyBorder="1" applyAlignment="1">
      <alignment horizontal="left" vertical="center" wrapText="1"/>
    </xf>
    <xf numFmtId="0" fontId="8" fillId="0" borderId="64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5" xfId="0" applyFont="1" applyBorder="1" applyAlignment="1">
      <alignment vertical="center" wrapText="1"/>
    </xf>
    <xf numFmtId="0" fontId="28" fillId="0" borderId="45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 wrapText="1"/>
    </xf>
    <xf numFmtId="0" fontId="28" fillId="0" borderId="70" xfId="0" applyFont="1" applyBorder="1" applyAlignment="1">
      <alignment horizontal="center" vertical="center"/>
    </xf>
    <xf numFmtId="0" fontId="28" fillId="0" borderId="75" xfId="0" applyFont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3" fontId="28" fillId="0" borderId="76" xfId="0" applyNumberFormat="1" applyFont="1" applyBorder="1" applyAlignment="1">
      <alignment horizontal="center" vertical="center"/>
    </xf>
    <xf numFmtId="3" fontId="28" fillId="0" borderId="77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13" fillId="7" borderId="4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13" fillId="7" borderId="6" xfId="0" applyFont="1" applyFill="1" applyBorder="1" applyAlignment="1">
      <alignment vertical="center"/>
    </xf>
    <xf numFmtId="0" fontId="2" fillId="4" borderId="86" xfId="0" applyFont="1" applyFill="1" applyBorder="1" applyAlignment="1">
      <alignment vertical="center"/>
    </xf>
    <xf numFmtId="0" fontId="2" fillId="4" borderId="80" xfId="0" applyFont="1" applyFill="1" applyBorder="1" applyAlignment="1">
      <alignment vertical="center"/>
    </xf>
    <xf numFmtId="0" fontId="2" fillId="4" borderId="87" xfId="0" applyFont="1" applyFill="1" applyBorder="1" applyAlignment="1">
      <alignment vertical="center"/>
    </xf>
    <xf numFmtId="2" fontId="2" fillId="0" borderId="45" xfId="0" applyNumberFormat="1" applyFont="1" applyBorder="1" applyAlignment="1">
      <alignment horizontal="center" vertical="center"/>
    </xf>
    <xf numFmtId="0" fontId="2" fillId="0" borderId="47" xfId="0" applyFont="1" applyBorder="1"/>
    <xf numFmtId="1" fontId="15" fillId="0" borderId="39" xfId="0" applyNumberFormat="1" applyFont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left" vertical="center"/>
    </xf>
    <xf numFmtId="164" fontId="6" fillId="5" borderId="12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center" vertical="center" wrapText="1"/>
    </xf>
    <xf numFmtId="3" fontId="6" fillId="5" borderId="12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 wrapText="1"/>
    </xf>
    <xf numFmtId="164" fontId="2" fillId="5" borderId="8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3" fontId="17" fillId="0" borderId="14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11" xfId="0" applyFont="1" applyBorder="1" applyAlignment="1">
      <alignment vertical="center"/>
    </xf>
    <xf numFmtId="0" fontId="61" fillId="0" borderId="0" xfId="0" applyFont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30" fillId="0" borderId="3" xfId="0" applyFont="1" applyBorder="1"/>
    <xf numFmtId="1" fontId="15" fillId="0" borderId="0" xfId="0" applyNumberFormat="1" applyFont="1"/>
    <xf numFmtId="0" fontId="16" fillId="0" borderId="97" xfId="0" applyFont="1" applyBorder="1" applyAlignment="1">
      <alignment horizontal="center" vertical="center" wrapText="1"/>
    </xf>
    <xf numFmtId="2" fontId="15" fillId="0" borderId="76" xfId="0" applyNumberFormat="1" applyFont="1" applyBorder="1" applyAlignment="1">
      <alignment horizontal="center" vertical="center" wrapText="1"/>
    </xf>
    <xf numFmtId="2" fontId="15" fillId="0" borderId="4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16" borderId="29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66" xfId="0" applyFont="1" applyFill="1" applyBorder="1" applyAlignment="1">
      <alignment horizontal="center" vertical="center" wrapText="1"/>
    </xf>
    <xf numFmtId="0" fontId="2" fillId="16" borderId="67" xfId="0" applyFont="1" applyFill="1" applyBorder="1" applyAlignment="1">
      <alignment horizontal="center" vertical="center" wrapText="1"/>
    </xf>
    <xf numFmtId="0" fontId="2" fillId="16" borderId="3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70" xfId="0" applyNumberFormat="1" applyFont="1" applyFill="1" applyBorder="1" applyAlignment="1">
      <alignment horizontal="center" vertical="center"/>
    </xf>
    <xf numFmtId="0" fontId="2" fillId="4" borderId="7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3" fontId="2" fillId="0" borderId="0" xfId="0" applyNumberFormat="1" applyFont="1"/>
    <xf numFmtId="164" fontId="2" fillId="4" borderId="15" xfId="0" applyNumberFormat="1" applyFont="1" applyFill="1" applyBorder="1" applyAlignment="1">
      <alignment horizontal="center" vertical="center"/>
    </xf>
    <xf numFmtId="0" fontId="2" fillId="4" borderId="72" xfId="0" applyFont="1" applyFill="1" applyBorder="1" applyAlignment="1">
      <alignment horizontal="center" vertical="center"/>
    </xf>
    <xf numFmtId="0" fontId="4" fillId="4" borderId="0" xfId="0" applyFont="1" applyFill="1"/>
    <xf numFmtId="0" fontId="2" fillId="4" borderId="46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left" vertical="center"/>
    </xf>
    <xf numFmtId="164" fontId="2" fillId="4" borderId="75" xfId="0" applyNumberFormat="1" applyFont="1" applyFill="1" applyBorder="1" applyAlignment="1">
      <alignment horizontal="center" vertical="center"/>
    </xf>
    <xf numFmtId="0" fontId="2" fillId="4" borderId="74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vertical="center" wrapText="1"/>
    </xf>
    <xf numFmtId="164" fontId="2" fillId="0" borderId="16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left" vertical="center"/>
    </xf>
    <xf numFmtId="164" fontId="2" fillId="4" borderId="16" xfId="0" applyNumberFormat="1" applyFont="1" applyFill="1" applyBorder="1" applyAlignment="1">
      <alignment horizontal="center" vertical="center"/>
    </xf>
    <xf numFmtId="0" fontId="2" fillId="0" borderId="49" xfId="0" applyFont="1" applyBorder="1" applyAlignment="1">
      <alignment horizontal="left" vertical="center"/>
    </xf>
    <xf numFmtId="0" fontId="2" fillId="0" borderId="89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4" borderId="49" xfId="0" applyFont="1" applyFill="1" applyBorder="1" applyAlignment="1">
      <alignment horizontal="left" vertical="center"/>
    </xf>
    <xf numFmtId="164" fontId="2" fillId="4" borderId="73" xfId="0" applyNumberFormat="1" applyFont="1" applyFill="1" applyBorder="1" applyAlignment="1">
      <alignment horizontal="center" vertical="center"/>
    </xf>
    <xf numFmtId="0" fontId="2" fillId="4" borderId="6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0" fontId="2" fillId="4" borderId="18" xfId="0" applyFont="1" applyFill="1" applyBorder="1" applyAlignment="1">
      <alignment horizontal="center" vertical="center"/>
    </xf>
    <xf numFmtId="164" fontId="2" fillId="4" borderId="41" xfId="0" applyNumberFormat="1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2" fillId="4" borderId="81" xfId="0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0" fillId="0" borderId="0" xfId="0" applyFont="1"/>
    <xf numFmtId="0" fontId="71" fillId="0" borderId="5" xfId="0" applyFont="1" applyBorder="1" applyAlignment="1">
      <alignment horizontal="center" vertical="center"/>
    </xf>
    <xf numFmtId="0" fontId="71" fillId="0" borderId="5" xfId="0" applyFont="1" applyBorder="1" applyAlignment="1">
      <alignment horizontal="right" vertical="center" wrapText="1"/>
    </xf>
    <xf numFmtId="0" fontId="71" fillId="0" borderId="0" xfId="0" applyFont="1"/>
    <xf numFmtId="1" fontId="2" fillId="0" borderId="2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71" fillId="0" borderId="80" xfId="0" applyFont="1" applyBorder="1" applyAlignment="1">
      <alignment horizontal="center" vertical="center"/>
    </xf>
    <xf numFmtId="0" fontId="71" fillId="0" borderId="80" xfId="0" applyFont="1" applyBorder="1" applyAlignment="1">
      <alignment horizontal="right" vertical="center" wrapText="1"/>
    </xf>
    <xf numFmtId="0" fontId="71" fillId="0" borderId="58" xfId="0" applyFont="1" applyBorder="1" applyAlignment="1">
      <alignment horizontal="center" vertical="center"/>
    </xf>
    <xf numFmtId="0" fontId="71" fillId="0" borderId="58" xfId="0" applyFont="1" applyBorder="1" applyAlignment="1">
      <alignment horizontal="right" vertical="center" wrapText="1"/>
    </xf>
    <xf numFmtId="0" fontId="20" fillId="16" borderId="4" xfId="0" applyFont="1" applyFill="1" applyBorder="1" applyAlignment="1">
      <alignment vertical="center" wrapText="1"/>
    </xf>
    <xf numFmtId="0" fontId="20" fillId="18" borderId="5" xfId="0" applyFont="1" applyFill="1" applyBorder="1" applyAlignment="1">
      <alignment vertical="center" wrapText="1"/>
    </xf>
    <xf numFmtId="1" fontId="45" fillId="18" borderId="30" xfId="0" applyNumberFormat="1" applyFont="1" applyFill="1" applyBorder="1" applyAlignment="1">
      <alignment horizontal="center" vertical="center"/>
    </xf>
    <xf numFmtId="0" fontId="41" fillId="18" borderId="5" xfId="0" applyFont="1" applyFill="1" applyBorder="1" applyAlignment="1">
      <alignment horizontal="left" vertical="center" wrapText="1"/>
    </xf>
    <xf numFmtId="2" fontId="16" fillId="0" borderId="14" xfId="0" applyNumberFormat="1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73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" fontId="2" fillId="0" borderId="1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/>
    </xf>
    <xf numFmtId="0" fontId="2" fillId="8" borderId="66" xfId="0" applyFont="1" applyFill="1" applyBorder="1" applyAlignment="1">
      <alignment horizontal="center" vertical="center"/>
    </xf>
    <xf numFmtId="0" fontId="28" fillId="4" borderId="41" xfId="0" applyFont="1" applyFill="1" applyBorder="1" applyAlignment="1">
      <alignment horizontal="center" vertical="center" wrapText="1"/>
    </xf>
    <xf numFmtId="0" fontId="2" fillId="8" borderId="67" xfId="0" applyFont="1" applyFill="1" applyBorder="1" applyAlignment="1">
      <alignment horizontal="center" vertical="center"/>
    </xf>
    <xf numFmtId="0" fontId="17" fillId="4" borderId="69" xfId="0" applyFont="1" applyFill="1" applyBorder="1" applyAlignment="1">
      <alignment horizontal="center" vertical="center"/>
    </xf>
    <xf numFmtId="0" fontId="2" fillId="8" borderId="78" xfId="0" applyFont="1" applyFill="1" applyBorder="1" applyAlignment="1">
      <alignment horizontal="center" vertical="center"/>
    </xf>
    <xf numFmtId="3" fontId="17" fillId="4" borderId="98" xfId="0" applyNumberFormat="1" applyFont="1" applyFill="1" applyBorder="1" applyAlignment="1">
      <alignment horizontal="center" vertical="center"/>
    </xf>
    <xf numFmtId="3" fontId="18" fillId="9" borderId="78" xfId="0" applyNumberFormat="1" applyFont="1" applyFill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left" vertical="center" wrapText="1"/>
    </xf>
    <xf numFmtId="164" fontId="4" fillId="0" borderId="22" xfId="0" applyNumberFormat="1" applyFont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14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3" fontId="8" fillId="0" borderId="15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/>
    </xf>
    <xf numFmtId="0" fontId="12" fillId="0" borderId="45" xfId="0" applyFont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0" fontId="2" fillId="0" borderId="26" xfId="0" applyFont="1" applyBorder="1"/>
    <xf numFmtId="3" fontId="28" fillId="0" borderId="99" xfId="0" applyNumberFormat="1" applyFont="1" applyBorder="1" applyAlignment="1">
      <alignment horizontal="center" vertical="center"/>
    </xf>
    <xf numFmtId="0" fontId="30" fillId="5" borderId="4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vertical="center" wrapText="1"/>
    </xf>
    <xf numFmtId="0" fontId="18" fillId="16" borderId="6" xfId="0" applyFont="1" applyFill="1" applyBorder="1" applyAlignment="1">
      <alignment vertical="center" wrapText="1"/>
    </xf>
    <xf numFmtId="0" fontId="12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164" fontId="6" fillId="4" borderId="12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0" fontId="8" fillId="4" borderId="41" xfId="0" applyFont="1" applyFill="1" applyBorder="1" applyAlignment="1">
      <alignment horizontal="center" vertical="center" wrapText="1"/>
    </xf>
    <xf numFmtId="3" fontId="6" fillId="4" borderId="98" xfId="0" applyNumberFormat="1" applyFont="1" applyFill="1" applyBorder="1" applyAlignment="1">
      <alignment horizontal="center" vertical="center"/>
    </xf>
    <xf numFmtId="0" fontId="6" fillId="4" borderId="69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 wrapText="1"/>
    </xf>
    <xf numFmtId="0" fontId="28" fillId="4" borderId="8" xfId="0" applyFont="1" applyFill="1" applyBorder="1" applyAlignment="1">
      <alignment vertical="center"/>
    </xf>
    <xf numFmtId="14" fontId="28" fillId="4" borderId="8" xfId="0" applyNumberFormat="1" applyFont="1" applyFill="1" applyBorder="1" applyAlignment="1">
      <alignment horizontal="center" vertical="center"/>
    </xf>
    <xf numFmtId="3" fontId="28" fillId="4" borderId="15" xfId="0" applyNumberFormat="1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vertical="center"/>
    </xf>
    <xf numFmtId="0" fontId="28" fillId="4" borderId="9" xfId="0" applyFont="1" applyFill="1" applyBorder="1" applyAlignment="1">
      <alignment vertical="center"/>
    </xf>
    <xf numFmtId="0" fontId="6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8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72" fillId="0" borderId="8" xfId="0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left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4" borderId="26" xfId="0" applyFont="1" applyFill="1" applyBorder="1" applyAlignment="1">
      <alignment vertical="center"/>
    </xf>
    <xf numFmtId="0" fontId="28" fillId="4" borderId="8" xfId="0" applyFont="1" applyFill="1" applyBorder="1" applyAlignment="1">
      <alignment horizontal="center" vertical="center" wrapText="1"/>
    </xf>
    <xf numFmtId="0" fontId="2" fillId="4" borderId="72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/>
    </xf>
    <xf numFmtId="0" fontId="17" fillId="0" borderId="47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center" vertical="center"/>
    </xf>
    <xf numFmtId="3" fontId="28" fillId="0" borderId="78" xfId="0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0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left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13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28" fillId="0" borderId="100" xfId="0" applyFont="1" applyBorder="1" applyAlignment="1">
      <alignment horizontal="center" vertical="center"/>
    </xf>
    <xf numFmtId="3" fontId="28" fillId="0" borderId="101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30" xfId="0" applyFont="1" applyBorder="1" applyAlignment="1">
      <alignment vertical="center"/>
    </xf>
    <xf numFmtId="3" fontId="28" fillId="0" borderId="67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vertical="center" wrapText="1"/>
    </xf>
    <xf numFmtId="0" fontId="28" fillId="0" borderId="101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vertical="center"/>
    </xf>
    <xf numFmtId="0" fontId="2" fillId="0" borderId="43" xfId="0" applyFont="1" applyBorder="1" applyAlignment="1">
      <alignment horizontal="left" vertical="center" wrapText="1"/>
    </xf>
    <xf numFmtId="0" fontId="28" fillId="0" borderId="84" xfId="0" applyFont="1" applyBorder="1" applyAlignment="1">
      <alignment horizontal="center" vertical="center"/>
    </xf>
    <xf numFmtId="3" fontId="28" fillId="0" borderId="102" xfId="0" applyNumberFormat="1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 wrapText="1"/>
    </xf>
    <xf numFmtId="0" fontId="28" fillId="0" borderId="43" xfId="0" applyFont="1" applyBorder="1" applyAlignment="1">
      <alignment vertical="center" wrapText="1"/>
    </xf>
    <xf numFmtId="0" fontId="28" fillId="0" borderId="20" xfId="0" applyFont="1" applyBorder="1" applyAlignment="1">
      <alignment horizontal="center" vertical="center" wrapText="1"/>
    </xf>
    <xf numFmtId="0" fontId="15" fillId="0" borderId="103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left" vertical="center"/>
    </xf>
    <xf numFmtId="0" fontId="15" fillId="0" borderId="104" xfId="0" applyFont="1" applyBorder="1" applyAlignment="1">
      <alignment horizontal="center" vertical="center" wrapText="1"/>
    </xf>
    <xf numFmtId="1" fontId="15" fillId="0" borderId="104" xfId="0" applyNumberFormat="1" applyFont="1" applyBorder="1" applyAlignment="1">
      <alignment horizontal="center" vertical="center" wrapText="1"/>
    </xf>
    <xf numFmtId="2" fontId="15" fillId="0" borderId="98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2" fontId="16" fillId="0" borderId="78" xfId="0" applyNumberFormat="1" applyFont="1" applyBorder="1" applyAlignment="1">
      <alignment horizontal="center" vertical="center" wrapText="1"/>
    </xf>
    <xf numFmtId="0" fontId="28" fillId="0" borderId="47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0" fillId="0" borderId="2" xfId="0" applyFont="1" applyBorder="1" applyAlignment="1">
      <alignment horizontal="left" vertical="center"/>
    </xf>
    <xf numFmtId="0" fontId="30" fillId="0" borderId="11" xfId="0" applyFont="1" applyBorder="1"/>
    <xf numFmtId="0" fontId="3" fillId="0" borderId="23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 wrapText="1"/>
    </xf>
    <xf numFmtId="17" fontId="17" fillId="0" borderId="47" xfId="0" applyNumberFormat="1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left" vertical="center" wrapText="1"/>
    </xf>
    <xf numFmtId="0" fontId="74" fillId="0" borderId="0" xfId="0" applyFont="1" applyAlignment="1">
      <alignment horizontal="center" vertical="center"/>
    </xf>
    <xf numFmtId="0" fontId="16" fillId="0" borderId="0" xfId="0" applyFont="1"/>
    <xf numFmtId="0" fontId="75" fillId="0" borderId="0" xfId="0" applyFont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3" fontId="11" fillId="0" borderId="45" xfId="0" applyNumberFormat="1" applyFont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left" vertical="center" wrapText="1"/>
    </xf>
    <xf numFmtId="0" fontId="12" fillId="0" borderId="47" xfId="0" applyFont="1" applyBorder="1"/>
    <xf numFmtId="0" fontId="12" fillId="4" borderId="8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/>
    </xf>
    <xf numFmtId="0" fontId="12" fillId="4" borderId="9" xfId="0" applyFont="1" applyFill="1" applyBorder="1" applyAlignment="1">
      <alignment vertical="center"/>
    </xf>
    <xf numFmtId="0" fontId="12" fillId="4" borderId="46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left" vertical="center"/>
    </xf>
    <xf numFmtId="0" fontId="12" fillId="4" borderId="45" xfId="0" applyFont="1" applyFill="1" applyBorder="1" applyAlignment="1">
      <alignment horizontal="left" vertical="center"/>
    </xf>
    <xf numFmtId="0" fontId="12" fillId="4" borderId="47" xfId="0" applyFont="1" applyFill="1" applyBorder="1" applyAlignment="1">
      <alignment vertical="center"/>
    </xf>
    <xf numFmtId="0" fontId="24" fillId="0" borderId="27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30" fillId="0" borderId="8" xfId="0" applyFont="1" applyBorder="1" applyAlignment="1">
      <alignment vertical="center" wrapText="1"/>
    </xf>
    <xf numFmtId="0" fontId="12" fillId="0" borderId="9" xfId="0" applyFont="1" applyBorder="1" applyAlignment="1">
      <alignment wrapText="1"/>
    </xf>
    <xf numFmtId="0" fontId="30" fillId="0" borderId="9" xfId="0" applyFont="1" applyBorder="1" applyAlignment="1">
      <alignment wrapText="1"/>
    </xf>
    <xf numFmtId="0" fontId="28" fillId="0" borderId="16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8" fillId="4" borderId="15" xfId="0" applyFont="1" applyFill="1" applyBorder="1" applyAlignment="1">
      <alignment horizontal="left" vertical="center"/>
    </xf>
    <xf numFmtId="3" fontId="28" fillId="0" borderId="75" xfId="0" applyNumberFormat="1" applyFont="1" applyBorder="1" applyAlignment="1">
      <alignment horizontal="center" vertical="center"/>
    </xf>
    <xf numFmtId="3" fontId="30" fillId="0" borderId="45" xfId="0" applyNumberFormat="1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left" vertical="center"/>
    </xf>
    <xf numFmtId="1" fontId="4" fillId="0" borderId="30" xfId="0" applyNumberFormat="1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164" fontId="4" fillId="4" borderId="66" xfId="0" applyNumberFormat="1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4" borderId="31" xfId="0" applyFont="1" applyFill="1" applyBorder="1" applyAlignment="1">
      <alignment vertical="center"/>
    </xf>
    <xf numFmtId="0" fontId="8" fillId="0" borderId="13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8" fillId="0" borderId="100" xfId="0" applyFont="1" applyBorder="1" applyAlignment="1">
      <alignment horizontal="center" vertical="center"/>
    </xf>
    <xf numFmtId="3" fontId="8" fillId="0" borderId="99" xfId="0" applyNumberFormat="1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left" vertical="center"/>
    </xf>
    <xf numFmtId="164" fontId="6" fillId="4" borderId="30" xfId="0" applyNumberFormat="1" applyFont="1" applyFill="1" applyBorder="1" applyAlignment="1">
      <alignment horizontal="center" vertical="center"/>
    </xf>
    <xf numFmtId="3" fontId="6" fillId="4" borderId="30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vertical="center"/>
    </xf>
    <xf numFmtId="164" fontId="10" fillId="4" borderId="70" xfId="0" applyNumberFormat="1" applyFont="1" applyFill="1" applyBorder="1" applyAlignment="1">
      <alignment horizontal="center" vertical="center"/>
    </xf>
    <xf numFmtId="164" fontId="10" fillId="4" borderId="15" xfId="0" applyNumberFormat="1" applyFont="1" applyFill="1" applyBorder="1" applyAlignment="1">
      <alignment horizontal="center" vertical="center"/>
    </xf>
    <xf numFmtId="164" fontId="11" fillId="4" borderId="15" xfId="0" applyNumberFormat="1" applyFont="1" applyFill="1" applyBorder="1" applyAlignment="1">
      <alignment horizontal="center" vertical="center"/>
    </xf>
    <xf numFmtId="164" fontId="11" fillId="4" borderId="75" xfId="0" applyNumberFormat="1" applyFont="1" applyFill="1" applyBorder="1" applyAlignment="1">
      <alignment horizontal="center" vertical="center"/>
    </xf>
    <xf numFmtId="0" fontId="30" fillId="4" borderId="71" xfId="0" applyFont="1" applyFill="1" applyBorder="1" applyAlignment="1">
      <alignment horizontal="center" vertical="center"/>
    </xf>
    <xf numFmtId="0" fontId="31" fillId="4" borderId="72" xfId="0" applyFont="1" applyFill="1" applyBorder="1" applyAlignment="1">
      <alignment horizontal="center" vertical="center"/>
    </xf>
    <xf numFmtId="0" fontId="12" fillId="4" borderId="72" xfId="0" applyFont="1" applyFill="1" applyBorder="1" applyAlignment="1">
      <alignment horizontal="center" vertical="center"/>
    </xf>
    <xf numFmtId="0" fontId="12" fillId="4" borderId="74" xfId="0" applyFont="1" applyFill="1" applyBorder="1" applyAlignment="1">
      <alignment horizontal="center" vertical="center"/>
    </xf>
    <xf numFmtId="3" fontId="10" fillId="4" borderId="76" xfId="0" applyNumberFormat="1" applyFont="1" applyFill="1" applyBorder="1" applyAlignment="1">
      <alignment horizontal="center" vertical="center"/>
    </xf>
    <xf numFmtId="3" fontId="11" fillId="4" borderId="40" xfId="0" applyNumberFormat="1" applyFont="1" applyFill="1" applyBorder="1" applyAlignment="1">
      <alignment horizontal="center" vertical="center"/>
    </xf>
    <xf numFmtId="3" fontId="11" fillId="4" borderId="77" xfId="0" applyNumberFormat="1" applyFont="1" applyFill="1" applyBorder="1" applyAlignment="1">
      <alignment horizontal="center" vertical="center"/>
    </xf>
    <xf numFmtId="3" fontId="18" fillId="10" borderId="78" xfId="0" applyNumberFormat="1" applyFont="1" applyFill="1" applyBorder="1" applyAlignment="1">
      <alignment horizontal="center" vertical="center"/>
    </xf>
    <xf numFmtId="0" fontId="28" fillId="10" borderId="84" xfId="0" applyFont="1" applyFill="1" applyBorder="1" applyAlignment="1">
      <alignment horizontal="center" vertical="center" wrapText="1"/>
    </xf>
    <xf numFmtId="0" fontId="28" fillId="10" borderId="85" xfId="0" applyFont="1" applyFill="1" applyBorder="1" applyAlignment="1">
      <alignment horizontal="center" vertical="center" wrapText="1"/>
    </xf>
    <xf numFmtId="0" fontId="28" fillId="10" borderId="10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/>
    <xf numFmtId="164" fontId="4" fillId="0" borderId="14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left" vertical="center" wrapText="1"/>
    </xf>
    <xf numFmtId="0" fontId="22" fillId="0" borderId="9" xfId="0" applyFont="1" applyBorder="1" applyAlignment="1">
      <alignment vertical="center"/>
    </xf>
    <xf numFmtId="0" fontId="8" fillId="0" borderId="45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3" fontId="30" fillId="0" borderId="8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4" fillId="0" borderId="79" xfId="0" applyFont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9" fillId="0" borderId="14" xfId="0" applyFont="1" applyBorder="1" applyAlignment="1">
      <alignment horizontal="left" vertical="center"/>
    </xf>
    <xf numFmtId="0" fontId="39" fillId="0" borderId="49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0" fontId="59" fillId="12" borderId="5" xfId="0" applyFont="1" applyFill="1" applyBorder="1" applyAlignment="1">
      <alignment vertical="center" wrapText="1"/>
    </xf>
    <xf numFmtId="0" fontId="59" fillId="12" borderId="6" xfId="0" applyFont="1" applyFill="1" applyBorder="1" applyAlignment="1">
      <alignment vertical="center" wrapText="1"/>
    </xf>
    <xf numFmtId="0" fontId="13" fillId="12" borderId="5" xfId="0" applyFont="1" applyFill="1" applyBorder="1" applyAlignment="1">
      <alignment vertical="center" wrapText="1"/>
    </xf>
    <xf numFmtId="164" fontId="11" fillId="0" borderId="45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vertical="center"/>
    </xf>
    <xf numFmtId="3" fontId="8" fillId="0" borderId="1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8" fillId="0" borderId="14" xfId="0" applyFont="1" applyBorder="1" applyAlignment="1">
      <alignment horizontal="left" vertical="center" wrapText="1"/>
    </xf>
    <xf numFmtId="3" fontId="8" fillId="0" borderId="8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vertical="center"/>
    </xf>
    <xf numFmtId="14" fontId="8" fillId="0" borderId="45" xfId="0" applyNumberFormat="1" applyFont="1" applyBorder="1" applyAlignment="1">
      <alignment horizontal="center" vertical="center"/>
    </xf>
    <xf numFmtId="3" fontId="8" fillId="0" borderId="45" xfId="0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4" fillId="0" borderId="75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3" fontId="3" fillId="4" borderId="8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left" vertical="center"/>
    </xf>
    <xf numFmtId="0" fontId="4" fillId="0" borderId="53" xfId="0" applyFont="1" applyBorder="1" applyAlignment="1">
      <alignment horizontal="left" vertical="center" wrapText="1"/>
    </xf>
    <xf numFmtId="164" fontId="4" fillId="0" borderId="53" xfId="0" applyNumberFormat="1" applyFont="1" applyBorder="1" applyAlignment="1">
      <alignment horizontal="center" vertical="center"/>
    </xf>
    <xf numFmtId="3" fontId="4" fillId="0" borderId="53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3" fontId="30" fillId="0" borderId="2" xfId="0" applyNumberFormat="1" applyFont="1" applyBorder="1" applyAlignment="1">
      <alignment horizontal="center" vertical="center" wrapText="1"/>
    </xf>
    <xf numFmtId="0" fontId="10" fillId="0" borderId="45" xfId="0" applyFont="1" applyBorder="1" applyAlignment="1">
      <alignment horizontal="left" vertical="center" wrapText="1"/>
    </xf>
    <xf numFmtId="0" fontId="17" fillId="0" borderId="45" xfId="0" applyFont="1" applyBorder="1" applyAlignment="1">
      <alignment horizontal="center" vertical="center" wrapText="1"/>
    </xf>
    <xf numFmtId="0" fontId="30" fillId="0" borderId="45" xfId="0" applyFont="1" applyBorder="1" applyAlignment="1">
      <alignment vertical="center" wrapText="1"/>
    </xf>
    <xf numFmtId="0" fontId="12" fillId="0" borderId="47" xfId="0" applyFont="1" applyBorder="1" applyAlignment="1">
      <alignment wrapText="1"/>
    </xf>
    <xf numFmtId="3" fontId="31" fillId="0" borderId="45" xfId="0" applyNumberFormat="1" applyFont="1" applyBorder="1" applyAlignment="1">
      <alignment horizontal="center" vertical="center"/>
    </xf>
    <xf numFmtId="14" fontId="28" fillId="0" borderId="14" xfId="0" applyNumberFormat="1" applyFont="1" applyBorder="1" applyAlignment="1">
      <alignment horizontal="center" vertical="center"/>
    </xf>
    <xf numFmtId="0" fontId="51" fillId="5" borderId="8" xfId="0" applyFont="1" applyFill="1" applyBorder="1" applyAlignment="1">
      <alignment horizontal="center" vertical="center"/>
    </xf>
    <xf numFmtId="0" fontId="30" fillId="0" borderId="45" xfId="0" applyFont="1" applyBorder="1" applyAlignment="1">
      <alignment horizontal="left" vertical="center"/>
    </xf>
    <xf numFmtId="0" fontId="30" fillId="0" borderId="4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3" fillId="12" borderId="4" xfId="0" applyFont="1" applyFill="1" applyBorder="1" applyAlignment="1">
      <alignment vertical="center" wrapText="1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left" vertical="center"/>
    </xf>
    <xf numFmtId="0" fontId="6" fillId="0" borderId="49" xfId="0" applyFont="1" applyBorder="1" applyAlignment="1">
      <alignment horizontal="center" vertical="center" wrapText="1"/>
    </xf>
    <xf numFmtId="3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/>
    </xf>
    <xf numFmtId="3" fontId="4" fillId="0" borderId="0" xfId="0" applyNumberFormat="1" applyFont="1"/>
    <xf numFmtId="3" fontId="30" fillId="0" borderId="14" xfId="0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left" vertical="center" wrapText="1"/>
    </xf>
    <xf numFmtId="0" fontId="28" fillId="5" borderId="46" xfId="0" applyFont="1" applyFill="1" applyBorder="1" applyAlignment="1">
      <alignment horizontal="center" vertical="center"/>
    </xf>
    <xf numFmtId="0" fontId="28" fillId="5" borderId="45" xfId="0" applyFont="1" applyFill="1" applyBorder="1" applyAlignment="1">
      <alignment vertical="center" wrapText="1"/>
    </xf>
    <xf numFmtId="0" fontId="2" fillId="5" borderId="45" xfId="0" applyFont="1" applyFill="1" applyBorder="1" applyAlignment="1">
      <alignment horizontal="left" vertical="center" wrapText="1"/>
    </xf>
    <xf numFmtId="0" fontId="28" fillId="5" borderId="75" xfId="0" applyFont="1" applyFill="1" applyBorder="1" applyAlignment="1">
      <alignment horizontal="center" vertical="center"/>
    </xf>
    <xf numFmtId="3" fontId="28" fillId="5" borderId="77" xfId="0" applyNumberFormat="1" applyFont="1" applyFill="1" applyBorder="1" applyAlignment="1">
      <alignment horizontal="center" vertical="center"/>
    </xf>
    <xf numFmtId="0" fontId="28" fillId="5" borderId="74" xfId="0" applyFont="1" applyFill="1" applyBorder="1" applyAlignment="1">
      <alignment horizontal="center" vertical="center"/>
    </xf>
    <xf numFmtId="0" fontId="28" fillId="5" borderId="45" xfId="0" applyFont="1" applyFill="1" applyBorder="1" applyAlignment="1">
      <alignment horizontal="center" vertical="center"/>
    </xf>
    <xf numFmtId="0" fontId="28" fillId="5" borderId="45" xfId="0" applyFont="1" applyFill="1" applyBorder="1" applyAlignment="1">
      <alignment horizontal="left" vertical="center" wrapText="1"/>
    </xf>
    <xf numFmtId="0" fontId="28" fillId="5" borderId="47" xfId="0" applyFont="1" applyFill="1" applyBorder="1" applyAlignment="1">
      <alignment horizontal="left" vertical="center" wrapText="1"/>
    </xf>
    <xf numFmtId="0" fontId="2" fillId="0" borderId="105" xfId="0" applyFont="1" applyBorder="1" applyAlignment="1">
      <alignment horizontal="center" vertical="center"/>
    </xf>
    <xf numFmtId="0" fontId="2" fillId="0" borderId="106" xfId="0" applyFont="1" applyBorder="1" applyAlignment="1">
      <alignment horizontal="left" vertical="center"/>
    </xf>
    <xf numFmtId="0" fontId="2" fillId="0" borderId="106" xfId="0" applyFont="1" applyBorder="1" applyAlignment="1">
      <alignment horizontal="left" vertical="center" wrapText="1"/>
    </xf>
    <xf numFmtId="164" fontId="2" fillId="0" borderId="106" xfId="0" applyNumberFormat="1" applyFont="1" applyBorder="1" applyAlignment="1">
      <alignment horizontal="center" vertical="center"/>
    </xf>
    <xf numFmtId="3" fontId="2" fillId="0" borderId="106" xfId="0" applyNumberFormat="1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2" fillId="0" borderId="107" xfId="0" applyFont="1" applyBorder="1" applyAlignment="1">
      <alignment horizontal="left" vertical="center" wrapText="1"/>
    </xf>
    <xf numFmtId="0" fontId="59" fillId="12" borderId="4" xfId="0" applyFont="1" applyFill="1" applyBorder="1" applyAlignment="1">
      <alignment horizontal="center" vertical="center"/>
    </xf>
    <xf numFmtId="0" fontId="59" fillId="12" borderId="5" xfId="0" applyFont="1" applyFill="1" applyBorder="1" applyAlignment="1">
      <alignment horizontal="center" vertical="center"/>
    </xf>
    <xf numFmtId="0" fontId="59" fillId="12" borderId="6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0" fontId="44" fillId="15" borderId="4" xfId="0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center" vertical="center"/>
    </xf>
    <xf numFmtId="0" fontId="44" fillId="15" borderId="6" xfId="0" applyFont="1" applyFill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18" fillId="14" borderId="4" xfId="0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41" fillId="14" borderId="5" xfId="0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0" fillId="0" borderId="10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71" fillId="0" borderId="4" xfId="0" applyFont="1" applyBorder="1" applyAlignment="1">
      <alignment horizontal="center" vertical="center"/>
    </xf>
    <xf numFmtId="0" fontId="71" fillId="0" borderId="5" xfId="0" applyFont="1" applyBorder="1" applyAlignment="1">
      <alignment horizontal="center" vertical="center"/>
    </xf>
    <xf numFmtId="0" fontId="71" fillId="0" borderId="5" xfId="0" applyFont="1" applyBorder="1" applyAlignment="1">
      <alignment horizontal="center" vertical="center" wrapText="1"/>
    </xf>
    <xf numFmtId="0" fontId="71" fillId="0" borderId="6" xfId="0" applyFont="1" applyBorder="1" applyAlignment="1">
      <alignment horizontal="center" vertical="center" wrapText="1"/>
    </xf>
    <xf numFmtId="0" fontId="18" fillId="16" borderId="4" xfId="0" applyFont="1" applyFill="1" applyBorder="1" applyAlignment="1">
      <alignment horizontal="right" vertical="center" wrapText="1"/>
    </xf>
    <xf numFmtId="0" fontId="18" fillId="16" borderId="5" xfId="0" applyFont="1" applyFill="1" applyBorder="1" applyAlignment="1">
      <alignment horizontal="right" vertical="center" wrapText="1"/>
    </xf>
    <xf numFmtId="0" fontId="71" fillId="0" borderId="59" xfId="0" applyFont="1" applyBorder="1" applyAlignment="1">
      <alignment horizontal="center" vertical="center"/>
    </xf>
    <xf numFmtId="0" fontId="71" fillId="0" borderId="58" xfId="0" applyFont="1" applyBorder="1" applyAlignment="1">
      <alignment horizontal="center" vertical="center"/>
    </xf>
    <xf numFmtId="0" fontId="71" fillId="0" borderId="58" xfId="0" applyFont="1" applyBorder="1" applyAlignment="1">
      <alignment horizontal="center" vertical="center" wrapText="1"/>
    </xf>
    <xf numFmtId="0" fontId="71" fillId="0" borderId="65" xfId="0" applyFont="1" applyBorder="1" applyAlignment="1">
      <alignment horizontal="center" vertical="center" wrapText="1"/>
    </xf>
    <xf numFmtId="0" fontId="71" fillId="0" borderId="86" xfId="0" applyFont="1" applyBorder="1" applyAlignment="1">
      <alignment horizontal="center" vertical="center"/>
    </xf>
    <xf numFmtId="0" fontId="71" fillId="0" borderId="80" xfId="0" applyFont="1" applyBorder="1" applyAlignment="1">
      <alignment horizontal="center" vertical="center"/>
    </xf>
    <xf numFmtId="0" fontId="71" fillId="0" borderId="80" xfId="0" applyFont="1" applyBorder="1" applyAlignment="1">
      <alignment horizontal="center" vertical="center" wrapText="1"/>
    </xf>
    <xf numFmtId="0" fontId="71" fillId="0" borderId="87" xfId="0" applyFont="1" applyBorder="1" applyAlignment="1">
      <alignment horizontal="center" vertical="center" wrapText="1"/>
    </xf>
    <xf numFmtId="0" fontId="18" fillId="16" borderId="4" xfId="0" applyFont="1" applyFill="1" applyBorder="1" applyAlignment="1">
      <alignment horizontal="right" wrapText="1"/>
    </xf>
    <xf numFmtId="0" fontId="18" fillId="16" borderId="5" xfId="0" applyFont="1" applyFill="1" applyBorder="1" applyAlignment="1">
      <alignment horizontal="right" wrapText="1"/>
    </xf>
    <xf numFmtId="0" fontId="20" fillId="18" borderId="5" xfId="0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left" vertical="center"/>
    </xf>
    <xf numFmtId="0" fontId="34" fillId="4" borderId="5" xfId="0" applyFont="1" applyFill="1" applyBorder="1" applyAlignment="1">
      <alignment horizontal="left" vertical="center"/>
    </xf>
    <xf numFmtId="0" fontId="34" fillId="4" borderId="6" xfId="0" applyFont="1" applyFill="1" applyBorder="1" applyAlignment="1">
      <alignment horizontal="left" vertical="center"/>
    </xf>
    <xf numFmtId="2" fontId="18" fillId="11" borderId="4" xfId="0" applyNumberFormat="1" applyFont="1" applyFill="1" applyBorder="1" applyAlignment="1">
      <alignment horizontal="center" vertical="center"/>
    </xf>
    <xf numFmtId="2" fontId="18" fillId="11" borderId="5" xfId="0" applyNumberFormat="1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29" fillId="17" borderId="4" xfId="0" applyFont="1" applyFill="1" applyBorder="1" applyAlignment="1">
      <alignment horizontal="center" vertical="center"/>
    </xf>
    <xf numFmtId="0" fontId="29" fillId="17" borderId="5" xfId="0" applyFont="1" applyFill="1" applyBorder="1" applyAlignment="1">
      <alignment horizontal="center" vertical="center"/>
    </xf>
    <xf numFmtId="0" fontId="29" fillId="17" borderId="6" xfId="0" applyFont="1" applyFill="1" applyBorder="1" applyAlignment="1">
      <alignment horizontal="center" vertical="center"/>
    </xf>
    <xf numFmtId="0" fontId="23" fillId="17" borderId="4" xfId="0" applyFont="1" applyFill="1" applyBorder="1" applyAlignment="1">
      <alignment horizontal="center" vertical="center"/>
    </xf>
    <xf numFmtId="0" fontId="23" fillId="17" borderId="5" xfId="0" applyFont="1" applyFill="1" applyBorder="1" applyAlignment="1">
      <alignment horizontal="center" vertical="center"/>
    </xf>
    <xf numFmtId="0" fontId="23" fillId="17" borderId="6" xfId="0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29" fillId="10" borderId="5" xfId="0" applyFont="1" applyFill="1" applyBorder="1" applyAlignment="1">
      <alignment horizontal="center" vertical="center"/>
    </xf>
    <xf numFmtId="0" fontId="29" fillId="10" borderId="6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8" fillId="10" borderId="29" xfId="0" applyFont="1" applyFill="1" applyBorder="1" applyAlignment="1">
      <alignment horizontal="center" vertical="center"/>
    </xf>
    <xf numFmtId="0" fontId="18" fillId="10" borderId="30" xfId="0" applyFont="1" applyFill="1" applyBorder="1" applyAlignment="1">
      <alignment horizontal="center" vertical="center"/>
    </xf>
    <xf numFmtId="0" fontId="18" fillId="10" borderId="66" xfId="0" applyFont="1" applyFill="1" applyBorder="1" applyAlignment="1">
      <alignment horizontal="center" vertical="center"/>
    </xf>
    <xf numFmtId="0" fontId="18" fillId="10" borderId="67" xfId="0" applyFont="1" applyFill="1" applyBorder="1" applyAlignment="1">
      <alignment horizontal="center" vertical="center"/>
    </xf>
    <xf numFmtId="0" fontId="18" fillId="10" borderId="31" xfId="0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left" vertical="center"/>
    </xf>
    <xf numFmtId="0" fontId="13" fillId="7" borderId="30" xfId="0" applyFont="1" applyFill="1" applyBorder="1" applyAlignment="1">
      <alignment horizontal="left" vertical="center"/>
    </xf>
    <xf numFmtId="0" fontId="13" fillId="7" borderId="31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45" fillId="4" borderId="17" xfId="0" applyFont="1" applyFill="1" applyBorder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0" fontId="45" fillId="4" borderId="26" xfId="0" applyFont="1" applyFill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Normal 5" xfId="5" xr:uid="{00000000-0005-0000-0000-000004000000}"/>
    <cellStyle name="Normal 6" xfId="1" xr:uid="{00000000-0005-0000-0000-000005000000}"/>
  </cellStyles>
  <dxfs count="0"/>
  <tableStyles count="0" defaultTableStyle="TableStyleMedium9" defaultPivotStyle="PivotStyleLight16"/>
  <colors>
    <mruColors>
      <color rgb="FFFF3399"/>
      <color rgb="FF7AEEFA"/>
      <color rgb="FF08C6DA"/>
      <color rgb="FF0000FF"/>
      <color rgb="FFFFFFCC"/>
      <color rgb="FFFFFF99"/>
      <color rgb="FFFFCCFF"/>
      <color rgb="FF9BE7EF"/>
      <color rgb="FFA3E7B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L250"/>
  <sheetViews>
    <sheetView tabSelected="1" zoomScale="85" zoomScaleNormal="85" workbookViewId="0">
      <selection activeCell="E270" sqref="E270"/>
    </sheetView>
  </sheetViews>
  <sheetFormatPr defaultColWidth="9.1796875" defaultRowHeight="25" customHeight="1"/>
  <cols>
    <col min="1" max="1" width="5.54296875" style="114" customWidth="1"/>
    <col min="2" max="2" width="40.81640625" style="2" bestFit="1" customWidth="1"/>
    <col min="3" max="3" width="30.90625" style="2" bestFit="1" customWidth="1"/>
    <col min="4" max="4" width="14.54296875" style="341" bestFit="1" customWidth="1"/>
    <col min="5" max="5" width="10.54296875" style="2" bestFit="1" customWidth="1"/>
    <col min="6" max="6" width="13.453125" style="341" customWidth="1"/>
    <col min="7" max="7" width="14.81640625" style="341" customWidth="1"/>
    <col min="8" max="8" width="26.453125" style="2" customWidth="1"/>
    <col min="9" max="9" width="22.453125" style="2" bestFit="1" customWidth="1"/>
    <col min="10" max="10" width="7" style="401" customWidth="1"/>
    <col min="11" max="16384" width="9.1796875" style="2"/>
  </cols>
  <sheetData>
    <row r="1" spans="1:12" s="338" customFormat="1" ht="30" customHeight="1" thickBot="1">
      <c r="A1" s="1068" t="s">
        <v>0</v>
      </c>
      <c r="B1" s="1069"/>
      <c r="C1" s="1069"/>
      <c r="D1" s="1069"/>
      <c r="E1" s="1069"/>
      <c r="F1" s="1069"/>
      <c r="G1" s="1069"/>
      <c r="H1" s="1069"/>
      <c r="I1" s="1070"/>
      <c r="J1" s="400">
        <v>1</v>
      </c>
    </row>
    <row r="2" spans="1:12" s="338" customFormat="1" ht="30" customHeight="1" thickBot="1">
      <c r="A2" s="1071" t="s">
        <v>1</v>
      </c>
      <c r="B2" s="1072"/>
      <c r="C2" s="1072"/>
      <c r="D2" s="1072"/>
      <c r="E2" s="1072"/>
      <c r="F2" s="1072"/>
      <c r="G2" s="1072"/>
      <c r="H2" s="1072"/>
      <c r="I2" s="1073"/>
      <c r="J2" s="400"/>
    </row>
    <row r="3" spans="1:12" s="339" customFormat="1" ht="30" customHeight="1" thickBot="1">
      <c r="A3" s="584" t="s">
        <v>2</v>
      </c>
      <c r="B3" s="342" t="s">
        <v>3</v>
      </c>
      <c r="C3" s="342" t="s">
        <v>4</v>
      </c>
      <c r="D3" s="343" t="s">
        <v>5</v>
      </c>
      <c r="E3" s="342" t="s">
        <v>6</v>
      </c>
      <c r="F3" s="342" t="s">
        <v>7</v>
      </c>
      <c r="G3" s="342" t="s">
        <v>8</v>
      </c>
      <c r="H3" s="344" t="s">
        <v>9</v>
      </c>
      <c r="I3" s="361" t="s">
        <v>10</v>
      </c>
      <c r="J3" s="400"/>
      <c r="K3" s="338"/>
      <c r="L3" s="338"/>
    </row>
    <row r="4" spans="1:12" s="7" customFormat="1" ht="45" customHeight="1">
      <c r="A4" s="501">
        <v>1</v>
      </c>
      <c r="B4" s="345" t="s">
        <v>15</v>
      </c>
      <c r="C4" s="345" t="s">
        <v>3606</v>
      </c>
      <c r="D4" s="346" t="s">
        <v>3381</v>
      </c>
      <c r="E4" s="349">
        <v>17071</v>
      </c>
      <c r="F4" s="200" t="s">
        <v>13</v>
      </c>
      <c r="G4" s="200">
        <v>8708926562</v>
      </c>
      <c r="H4" s="348"/>
      <c r="I4" s="203"/>
      <c r="J4" s="434"/>
    </row>
    <row r="5" spans="1:12" s="7" customFormat="1" ht="45" customHeight="1">
      <c r="A5" s="501">
        <v>2</v>
      </c>
      <c r="B5" s="345" t="s">
        <v>3417</v>
      </c>
      <c r="C5" s="345" t="s">
        <v>3607</v>
      </c>
      <c r="D5" s="346" t="s">
        <v>3418</v>
      </c>
      <c r="E5" s="349">
        <v>22308</v>
      </c>
      <c r="F5" s="200" t="s">
        <v>13</v>
      </c>
      <c r="G5" s="200">
        <v>9650048882</v>
      </c>
      <c r="H5" s="348" t="s">
        <v>44</v>
      </c>
      <c r="I5" s="203"/>
      <c r="J5" s="434"/>
    </row>
    <row r="6" spans="1:12" s="7" customFormat="1" ht="45" customHeight="1">
      <c r="A6" s="501">
        <v>3</v>
      </c>
      <c r="B6" s="345" t="s">
        <v>16</v>
      </c>
      <c r="C6" s="345" t="s">
        <v>3608</v>
      </c>
      <c r="D6" s="346" t="s">
        <v>3401</v>
      </c>
      <c r="E6" s="349">
        <v>17612</v>
      </c>
      <c r="F6" s="200" t="s">
        <v>17</v>
      </c>
      <c r="G6" s="200">
        <v>9250795206</v>
      </c>
      <c r="H6" s="348"/>
      <c r="I6" s="203"/>
      <c r="J6" s="434"/>
    </row>
    <row r="7" spans="1:12" s="7" customFormat="1" ht="45" customHeight="1">
      <c r="A7" s="501">
        <v>4</v>
      </c>
      <c r="B7" s="345" t="s">
        <v>18</v>
      </c>
      <c r="C7" s="345" t="s">
        <v>3605</v>
      </c>
      <c r="D7" s="346" t="s">
        <v>3604</v>
      </c>
      <c r="E7" s="349">
        <v>25831</v>
      </c>
      <c r="F7" s="200" t="s">
        <v>17</v>
      </c>
      <c r="G7" s="200">
        <v>9811180419</v>
      </c>
      <c r="H7" s="348"/>
      <c r="I7" s="203"/>
      <c r="J7" s="434"/>
    </row>
    <row r="8" spans="1:12" s="7" customFormat="1" ht="45" customHeight="1">
      <c r="A8" s="501">
        <v>5</v>
      </c>
      <c r="B8" s="345" t="s">
        <v>19</v>
      </c>
      <c r="C8" s="345" t="s">
        <v>3609</v>
      </c>
      <c r="D8" s="346" t="s">
        <v>20</v>
      </c>
      <c r="E8" s="349">
        <v>2213</v>
      </c>
      <c r="F8" s="200" t="s">
        <v>21</v>
      </c>
      <c r="G8" s="776">
        <v>9818320808</v>
      </c>
      <c r="H8" s="348"/>
      <c r="I8" s="203"/>
      <c r="J8" s="434"/>
    </row>
    <row r="9" spans="1:12" s="775" customFormat="1" ht="45" customHeight="1">
      <c r="A9" s="501">
        <v>6</v>
      </c>
      <c r="B9" s="345" t="s">
        <v>22</v>
      </c>
      <c r="C9" s="768" t="s">
        <v>3610</v>
      </c>
      <c r="D9" s="769" t="s">
        <v>3474</v>
      </c>
      <c r="E9" s="770">
        <v>17612</v>
      </c>
      <c r="F9" s="771" t="s">
        <v>17</v>
      </c>
      <c r="G9" s="771">
        <v>9818320808</v>
      </c>
      <c r="H9" s="772"/>
      <c r="I9" s="773"/>
      <c r="J9" s="774"/>
    </row>
    <row r="10" spans="1:12" s="775" customFormat="1" ht="45" customHeight="1">
      <c r="A10" s="501">
        <v>7</v>
      </c>
      <c r="B10" s="345" t="s">
        <v>23</v>
      </c>
      <c r="C10" s="768" t="s">
        <v>3611</v>
      </c>
      <c r="D10" s="769" t="s">
        <v>3442</v>
      </c>
      <c r="E10" s="770">
        <v>18300</v>
      </c>
      <c r="F10" s="771" t="s">
        <v>24</v>
      </c>
      <c r="G10" s="771">
        <v>9873268182</v>
      </c>
      <c r="H10" s="772" t="s">
        <v>25</v>
      </c>
      <c r="I10" s="773"/>
      <c r="J10" s="774"/>
    </row>
    <row r="11" spans="1:12" s="775" customFormat="1" ht="45" customHeight="1">
      <c r="A11" s="501">
        <v>8</v>
      </c>
      <c r="B11" s="345" t="s">
        <v>3459</v>
      </c>
      <c r="C11" s="768" t="s">
        <v>3612</v>
      </c>
      <c r="D11" s="769" t="s">
        <v>3438</v>
      </c>
      <c r="E11" s="770">
        <v>47060</v>
      </c>
      <c r="F11" s="771" t="s">
        <v>13</v>
      </c>
      <c r="G11" s="771">
        <v>9958593506</v>
      </c>
      <c r="H11" s="772" t="s">
        <v>3088</v>
      </c>
      <c r="I11" s="773"/>
      <c r="J11" s="774"/>
    </row>
    <row r="12" spans="1:12" s="775" customFormat="1" ht="45" customHeight="1">
      <c r="A12" s="501">
        <v>9</v>
      </c>
      <c r="B12" s="345" t="s">
        <v>26</v>
      </c>
      <c r="C12" s="768" t="s">
        <v>3613</v>
      </c>
      <c r="D12" s="769" t="s">
        <v>3473</v>
      </c>
      <c r="E12" s="770">
        <v>31000</v>
      </c>
      <c r="F12" s="787" t="s">
        <v>344</v>
      </c>
      <c r="G12" s="771">
        <v>9810303367</v>
      </c>
      <c r="H12" s="772" t="s">
        <v>2772</v>
      </c>
      <c r="I12" s="773"/>
      <c r="J12" s="774"/>
    </row>
    <row r="13" spans="1:12" s="775" customFormat="1" ht="45" customHeight="1">
      <c r="A13" s="501">
        <v>10</v>
      </c>
      <c r="B13" s="345" t="s">
        <v>28</v>
      </c>
      <c r="C13" s="768" t="s">
        <v>3614</v>
      </c>
      <c r="D13" s="769" t="s">
        <v>3442</v>
      </c>
      <c r="E13" s="770">
        <v>6638</v>
      </c>
      <c r="F13" s="787" t="s">
        <v>29</v>
      </c>
      <c r="G13" s="771">
        <v>8076106140</v>
      </c>
      <c r="H13" s="772"/>
      <c r="I13" s="773"/>
      <c r="J13" s="774"/>
    </row>
    <row r="14" spans="1:12" s="775" customFormat="1" ht="45" customHeight="1">
      <c r="A14" s="501">
        <v>11</v>
      </c>
      <c r="B14" s="345" t="s">
        <v>32</v>
      </c>
      <c r="C14" s="768" t="s">
        <v>3615</v>
      </c>
      <c r="D14" s="769" t="s">
        <v>3438</v>
      </c>
      <c r="E14" s="770">
        <v>28905</v>
      </c>
      <c r="F14" s="787" t="s">
        <v>13</v>
      </c>
      <c r="G14" s="771">
        <v>9811377423</v>
      </c>
      <c r="H14" s="772"/>
      <c r="I14" s="773"/>
      <c r="J14" s="774"/>
    </row>
    <row r="15" spans="1:12" s="7" customFormat="1" ht="45" customHeight="1">
      <c r="A15" s="501">
        <v>12</v>
      </c>
      <c r="B15" s="345" t="s">
        <v>34</v>
      </c>
      <c r="C15" s="345" t="s">
        <v>3616</v>
      </c>
      <c r="D15" s="346" t="s">
        <v>886</v>
      </c>
      <c r="E15" s="347">
        <v>26042</v>
      </c>
      <c r="F15" s="200" t="s">
        <v>24</v>
      </c>
      <c r="G15" s="200">
        <v>9582739813</v>
      </c>
      <c r="H15" s="348" t="s">
        <v>2773</v>
      </c>
      <c r="I15" s="203"/>
      <c r="J15" s="400"/>
    </row>
    <row r="16" spans="1:12" s="7" customFormat="1" ht="45" customHeight="1">
      <c r="A16" s="501">
        <v>13</v>
      </c>
      <c r="B16" s="345" t="s">
        <v>37</v>
      </c>
      <c r="C16" s="345" t="s">
        <v>3618</v>
      </c>
      <c r="D16" s="346" t="s">
        <v>38</v>
      </c>
      <c r="E16" s="347">
        <v>146814</v>
      </c>
      <c r="F16" s="200" t="s">
        <v>13</v>
      </c>
      <c r="G16" s="200">
        <v>9818300303</v>
      </c>
      <c r="H16" s="348"/>
      <c r="I16" s="203"/>
      <c r="J16" s="400"/>
    </row>
    <row r="17" spans="1:12" s="7" customFormat="1" ht="45" customHeight="1" thickBot="1">
      <c r="A17" s="481">
        <v>14</v>
      </c>
      <c r="B17" s="352" t="s">
        <v>3512</v>
      </c>
      <c r="C17" s="352" t="s">
        <v>3617</v>
      </c>
      <c r="D17" s="353" t="s">
        <v>3491</v>
      </c>
      <c r="E17" s="460">
        <v>11254</v>
      </c>
      <c r="F17" s="202" t="s">
        <v>17</v>
      </c>
      <c r="G17" s="202">
        <v>9810119787</v>
      </c>
      <c r="H17" s="354" t="s">
        <v>39</v>
      </c>
      <c r="I17" s="831"/>
      <c r="J17" s="400"/>
    </row>
    <row r="18" spans="1:12" s="7" customFormat="1" ht="27.5" customHeight="1">
      <c r="A18" s="356"/>
      <c r="B18" s="357"/>
      <c r="C18" s="357"/>
      <c r="D18" s="358"/>
      <c r="E18" s="359"/>
      <c r="F18" s="356"/>
      <c r="G18" s="356"/>
      <c r="H18" s="357"/>
      <c r="I18" s="357"/>
      <c r="J18" s="400"/>
    </row>
    <row r="19" spans="1:12" s="7" customFormat="1" ht="27.5" customHeight="1">
      <c r="A19" s="356"/>
      <c r="B19" s="357"/>
      <c r="C19" s="357"/>
      <c r="D19" s="358"/>
      <c r="E19" s="359"/>
      <c r="F19" s="356"/>
      <c r="G19" s="356"/>
      <c r="H19" s="357"/>
      <c r="I19" s="357"/>
      <c r="J19" s="400"/>
    </row>
    <row r="20" spans="1:12" s="7" customFormat="1" ht="27.5" customHeight="1" thickBot="1">
      <c r="A20" s="356"/>
      <c r="B20" s="357"/>
      <c r="C20" s="357"/>
      <c r="D20" s="358"/>
      <c r="E20" s="359"/>
      <c r="F20" s="356"/>
      <c r="G20" s="356"/>
      <c r="H20" s="357"/>
      <c r="I20" s="357"/>
      <c r="J20" s="400"/>
    </row>
    <row r="21" spans="1:12" s="338" customFormat="1" ht="30" customHeight="1" thickBot="1">
      <c r="A21" s="1068" t="s">
        <v>0</v>
      </c>
      <c r="B21" s="1069"/>
      <c r="C21" s="1069"/>
      <c r="D21" s="1069"/>
      <c r="E21" s="1069"/>
      <c r="F21" s="1069"/>
      <c r="G21" s="1069"/>
      <c r="H21" s="1069"/>
      <c r="I21" s="1070"/>
      <c r="J21" s="400">
        <v>2</v>
      </c>
    </row>
    <row r="22" spans="1:12" s="338" customFormat="1" ht="30" customHeight="1" thickBot="1">
      <c r="A22" s="1071" t="s">
        <v>40</v>
      </c>
      <c r="B22" s="1072"/>
      <c r="C22" s="1072"/>
      <c r="D22" s="1072"/>
      <c r="E22" s="1072"/>
      <c r="F22" s="1072"/>
      <c r="G22" s="1072"/>
      <c r="H22" s="1072"/>
      <c r="I22" s="1073"/>
      <c r="J22" s="400"/>
    </row>
    <row r="23" spans="1:12" s="339" customFormat="1" ht="30" customHeight="1" thickBot="1">
      <c r="A23" s="584" t="s">
        <v>2</v>
      </c>
      <c r="B23" s="342" t="s">
        <v>3</v>
      </c>
      <c r="C23" s="342" t="s">
        <v>4</v>
      </c>
      <c r="D23" s="343" t="s">
        <v>5</v>
      </c>
      <c r="E23" s="342" t="s">
        <v>6</v>
      </c>
      <c r="F23" s="342" t="s">
        <v>7</v>
      </c>
      <c r="G23" s="342" t="s">
        <v>8</v>
      </c>
      <c r="H23" s="344" t="s">
        <v>9</v>
      </c>
      <c r="I23" s="361" t="s">
        <v>10</v>
      </c>
      <c r="J23" s="400"/>
      <c r="K23" s="338"/>
      <c r="L23" s="338"/>
    </row>
    <row r="24" spans="1:12" s="7" customFormat="1" ht="45" customHeight="1">
      <c r="A24" s="501">
        <v>1</v>
      </c>
      <c r="B24" s="345" t="s">
        <v>43</v>
      </c>
      <c r="C24" s="345" t="s">
        <v>3601</v>
      </c>
      <c r="D24" s="346" t="s">
        <v>3510</v>
      </c>
      <c r="E24" s="349">
        <v>28962</v>
      </c>
      <c r="F24" s="309" t="s">
        <v>13</v>
      </c>
      <c r="G24" s="200">
        <v>9983532544</v>
      </c>
      <c r="H24" s="351" t="s">
        <v>44</v>
      </c>
      <c r="I24" s="362"/>
      <c r="J24" s="434"/>
    </row>
    <row r="25" spans="1:12" s="7" customFormat="1" ht="45" customHeight="1">
      <c r="A25" s="501">
        <v>2</v>
      </c>
      <c r="B25" s="345" t="s">
        <v>45</v>
      </c>
      <c r="C25" s="345" t="s">
        <v>3600</v>
      </c>
      <c r="D25" s="346" t="s">
        <v>3511</v>
      </c>
      <c r="E25" s="349">
        <v>27875</v>
      </c>
      <c r="F25" s="200" t="s">
        <v>17</v>
      </c>
      <c r="G25" s="200">
        <v>9958655007</v>
      </c>
      <c r="H25" s="348"/>
      <c r="I25" s="18"/>
      <c r="J25" s="434"/>
    </row>
    <row r="26" spans="1:12" s="775" customFormat="1" ht="45" customHeight="1">
      <c r="A26" s="501">
        <v>3</v>
      </c>
      <c r="B26" s="345" t="s">
        <v>33</v>
      </c>
      <c r="C26" s="768" t="s">
        <v>2236</v>
      </c>
      <c r="D26" s="769" t="s">
        <v>3517</v>
      </c>
      <c r="E26" s="770">
        <v>20595</v>
      </c>
      <c r="F26" s="787" t="s">
        <v>17</v>
      </c>
      <c r="G26" s="771">
        <v>9811068660</v>
      </c>
      <c r="H26" s="876">
        <v>8800433043</v>
      </c>
      <c r="I26" s="773"/>
      <c r="J26" s="774"/>
    </row>
    <row r="27" spans="1:12" s="7" customFormat="1" ht="45" customHeight="1">
      <c r="A27" s="501">
        <v>4</v>
      </c>
      <c r="B27" s="345" t="s">
        <v>35</v>
      </c>
      <c r="C27" s="345" t="s">
        <v>3602</v>
      </c>
      <c r="D27" s="346" t="s">
        <v>3517</v>
      </c>
      <c r="E27" s="349">
        <v>17388</v>
      </c>
      <c r="F27" s="200" t="s">
        <v>17</v>
      </c>
      <c r="G27" s="200">
        <v>9818269711</v>
      </c>
      <c r="H27" s="348" t="s">
        <v>36</v>
      </c>
      <c r="I27" s="18"/>
      <c r="J27" s="434"/>
    </row>
    <row r="28" spans="1:12" s="7" customFormat="1" ht="45" customHeight="1">
      <c r="A28" s="501">
        <v>5</v>
      </c>
      <c r="B28" s="345" t="s">
        <v>46</v>
      </c>
      <c r="C28" s="345" t="s">
        <v>3599</v>
      </c>
      <c r="D28" s="346" t="s">
        <v>3532</v>
      </c>
      <c r="E28" s="349">
        <v>16348</v>
      </c>
      <c r="F28" s="200" t="s">
        <v>17</v>
      </c>
      <c r="G28" s="200">
        <v>8890099937</v>
      </c>
      <c r="H28" s="348" t="s">
        <v>47</v>
      </c>
      <c r="I28" s="18"/>
      <c r="J28" s="434"/>
    </row>
    <row r="29" spans="1:12" s="7" customFormat="1" ht="45" customHeight="1">
      <c r="A29" s="501">
        <v>6</v>
      </c>
      <c r="B29" s="345" t="s">
        <v>48</v>
      </c>
      <c r="C29" s="345" t="s">
        <v>3598</v>
      </c>
      <c r="D29" s="346" t="s">
        <v>3532</v>
      </c>
      <c r="E29" s="349">
        <v>25374</v>
      </c>
      <c r="F29" s="200" t="s">
        <v>17</v>
      </c>
      <c r="G29" s="200">
        <v>9358269893</v>
      </c>
      <c r="H29" s="348" t="s">
        <v>49</v>
      </c>
      <c r="I29" s="18"/>
      <c r="J29" s="434"/>
    </row>
    <row r="30" spans="1:12" s="7" customFormat="1" ht="45" customHeight="1">
      <c r="A30" s="501">
        <v>7</v>
      </c>
      <c r="B30" s="345" t="s">
        <v>3596</v>
      </c>
      <c r="C30" s="345" t="s">
        <v>3597</v>
      </c>
      <c r="D30" s="346" t="s">
        <v>3543</v>
      </c>
      <c r="E30" s="349">
        <v>31965</v>
      </c>
      <c r="F30" s="200" t="s">
        <v>13</v>
      </c>
      <c r="G30" s="200">
        <v>8750887847</v>
      </c>
      <c r="H30" s="874" t="s">
        <v>1143</v>
      </c>
      <c r="I30" s="34"/>
      <c r="J30" s="434"/>
    </row>
    <row r="31" spans="1:12" s="7" customFormat="1" ht="45" customHeight="1">
      <c r="A31" s="501">
        <v>8</v>
      </c>
      <c r="B31" s="345" t="s">
        <v>50</v>
      </c>
      <c r="C31" s="345" t="s">
        <v>3652</v>
      </c>
      <c r="D31" s="346" t="s">
        <v>3407</v>
      </c>
      <c r="E31" s="349">
        <v>59726</v>
      </c>
      <c r="F31" s="200" t="s">
        <v>29</v>
      </c>
      <c r="G31" s="200">
        <v>7011624348</v>
      </c>
      <c r="H31" s="874" t="s">
        <v>52</v>
      </c>
      <c r="I31" s="34"/>
      <c r="J31" s="434"/>
    </row>
    <row r="32" spans="1:12" s="4" customFormat="1" ht="45" customHeight="1">
      <c r="A32" s="501">
        <v>9</v>
      </c>
      <c r="B32" s="345" t="s">
        <v>55</v>
      </c>
      <c r="C32" s="345" t="s">
        <v>3651</v>
      </c>
      <c r="D32" s="346" t="s">
        <v>3553</v>
      </c>
      <c r="E32" s="349">
        <v>23040</v>
      </c>
      <c r="F32" s="309" t="s">
        <v>17</v>
      </c>
      <c r="G32" s="200">
        <v>9968846940</v>
      </c>
      <c r="H32" s="351"/>
      <c r="I32" s="362"/>
      <c r="J32" s="400"/>
    </row>
    <row r="33" spans="1:12" s="4" customFormat="1" ht="45" customHeight="1">
      <c r="A33" s="501">
        <v>10</v>
      </c>
      <c r="B33" s="345" t="s">
        <v>56</v>
      </c>
      <c r="C33" s="345" t="s">
        <v>3653</v>
      </c>
      <c r="D33" s="346" t="s">
        <v>3561</v>
      </c>
      <c r="E33" s="349">
        <v>30591</v>
      </c>
      <c r="F33" s="309" t="s">
        <v>17</v>
      </c>
      <c r="G33" s="200">
        <v>9999246966</v>
      </c>
      <c r="H33" s="351" t="s">
        <v>2773</v>
      </c>
      <c r="I33" s="362"/>
      <c r="J33" s="400"/>
    </row>
    <row r="34" spans="1:12" s="4" customFormat="1" ht="45" customHeight="1">
      <c r="A34" s="501">
        <v>11</v>
      </c>
      <c r="B34" s="345" t="s">
        <v>3750</v>
      </c>
      <c r="C34" s="345" t="s">
        <v>3749</v>
      </c>
      <c r="D34" s="346" t="s">
        <v>3751</v>
      </c>
      <c r="E34" s="349">
        <v>750</v>
      </c>
      <c r="F34" s="309" t="s">
        <v>13</v>
      </c>
      <c r="G34" s="200">
        <v>9599341259</v>
      </c>
      <c r="H34" s="351"/>
      <c r="I34" s="362"/>
      <c r="J34" s="400"/>
    </row>
    <row r="35" spans="1:12" s="4" customFormat="1" ht="45" customHeight="1">
      <c r="A35" s="501">
        <v>12</v>
      </c>
      <c r="B35" s="345" t="s">
        <v>157</v>
      </c>
      <c r="C35" s="345" t="s">
        <v>3759</v>
      </c>
      <c r="D35" s="346" t="s">
        <v>3554</v>
      </c>
      <c r="E35" s="349">
        <v>25812</v>
      </c>
      <c r="F35" s="309" t="s">
        <v>344</v>
      </c>
      <c r="G35" s="200">
        <v>7028012721</v>
      </c>
      <c r="H35" s="351" t="s">
        <v>1335</v>
      </c>
      <c r="I35" s="362"/>
      <c r="J35" s="400"/>
    </row>
    <row r="36" spans="1:12" s="4" customFormat="1" ht="45" customHeight="1">
      <c r="A36" s="501">
        <v>13</v>
      </c>
      <c r="B36" s="345" t="s">
        <v>58</v>
      </c>
      <c r="C36" s="345" t="s">
        <v>3748</v>
      </c>
      <c r="D36" s="346" t="s">
        <v>3563</v>
      </c>
      <c r="E36" s="349">
        <v>36436</v>
      </c>
      <c r="F36" s="309" t="s">
        <v>13</v>
      </c>
      <c r="G36" s="200">
        <v>9599341259</v>
      </c>
      <c r="H36" s="351"/>
      <c r="I36" s="362"/>
      <c r="J36" s="400"/>
    </row>
    <row r="37" spans="1:12" s="4" customFormat="1" ht="45" customHeight="1" thickBot="1">
      <c r="A37" s="481">
        <v>14</v>
      </c>
      <c r="B37" s="352" t="s">
        <v>3658</v>
      </c>
      <c r="C37" s="352" t="s">
        <v>3656</v>
      </c>
      <c r="D37" s="353" t="s">
        <v>3657</v>
      </c>
      <c r="E37" s="877">
        <v>7606</v>
      </c>
      <c r="F37" s="202" t="s">
        <v>29</v>
      </c>
      <c r="G37" s="202">
        <v>8383945625</v>
      </c>
      <c r="H37" s="354" t="s">
        <v>2773</v>
      </c>
      <c r="I37" s="363"/>
      <c r="J37" s="400"/>
    </row>
    <row r="38" spans="1:12" ht="28.5" customHeight="1" thickBot="1"/>
    <row r="39" spans="1:12" s="338" customFormat="1" ht="30" customHeight="1" thickBot="1">
      <c r="A39" s="1068" t="s">
        <v>0</v>
      </c>
      <c r="B39" s="1069"/>
      <c r="C39" s="1069"/>
      <c r="D39" s="1069"/>
      <c r="E39" s="1069"/>
      <c r="F39" s="1069"/>
      <c r="G39" s="1069"/>
      <c r="H39" s="1069"/>
      <c r="I39" s="1070"/>
      <c r="J39" s="400">
        <v>3</v>
      </c>
    </row>
    <row r="40" spans="1:12" s="338" customFormat="1" ht="30" customHeight="1" thickBot="1">
      <c r="A40" s="1071" t="s">
        <v>59</v>
      </c>
      <c r="B40" s="1072"/>
      <c r="C40" s="1072"/>
      <c r="D40" s="1072"/>
      <c r="E40" s="1072"/>
      <c r="F40" s="1072"/>
      <c r="G40" s="1072"/>
      <c r="H40" s="1072"/>
      <c r="I40" s="1073"/>
      <c r="J40" s="400"/>
    </row>
    <row r="41" spans="1:12" s="339" customFormat="1" ht="30" customHeight="1" thickBot="1">
      <c r="A41" s="584" t="s">
        <v>2</v>
      </c>
      <c r="B41" s="342" t="s">
        <v>3</v>
      </c>
      <c r="C41" s="342" t="s">
        <v>4</v>
      </c>
      <c r="D41" s="343" t="s">
        <v>5</v>
      </c>
      <c r="E41" s="342" t="s">
        <v>6</v>
      </c>
      <c r="F41" s="342" t="s">
        <v>7</v>
      </c>
      <c r="G41" s="342" t="s">
        <v>8</v>
      </c>
      <c r="H41" s="344" t="s">
        <v>9</v>
      </c>
      <c r="I41" s="361" t="s">
        <v>10</v>
      </c>
      <c r="J41" s="400"/>
      <c r="K41" s="338"/>
      <c r="L41" s="338"/>
    </row>
    <row r="42" spans="1:12" s="7" customFormat="1" ht="43" customHeight="1">
      <c r="A42" s="501">
        <v>1</v>
      </c>
      <c r="B42" s="345" t="s">
        <v>63</v>
      </c>
      <c r="C42" s="345" t="s">
        <v>3756</v>
      </c>
      <c r="D42" s="346" t="s">
        <v>3729</v>
      </c>
      <c r="E42" s="349">
        <v>68230</v>
      </c>
      <c r="F42" s="17" t="s">
        <v>24</v>
      </c>
      <c r="G42" s="200">
        <v>9212786156</v>
      </c>
      <c r="H42" s="360"/>
      <c r="I42" s="18"/>
      <c r="J42" s="434"/>
    </row>
    <row r="43" spans="1:12" s="7" customFormat="1" ht="43" customHeight="1">
      <c r="A43" s="501">
        <v>2</v>
      </c>
      <c r="B43" s="345" t="s">
        <v>3489</v>
      </c>
      <c r="C43" s="345" t="s">
        <v>3757</v>
      </c>
      <c r="D43" s="346" t="s">
        <v>3729</v>
      </c>
      <c r="E43" s="349">
        <v>9762</v>
      </c>
      <c r="F43" s="17" t="s">
        <v>13</v>
      </c>
      <c r="G43" s="200">
        <v>9212786156</v>
      </c>
      <c r="H43" s="360"/>
      <c r="I43" s="18"/>
      <c r="J43" s="434"/>
    </row>
    <row r="44" spans="1:12" s="7" customFormat="1" ht="43" customHeight="1">
      <c r="A44" s="501">
        <v>3</v>
      </c>
      <c r="B44" s="345" t="s">
        <v>3812</v>
      </c>
      <c r="C44" s="345" t="s">
        <v>3828</v>
      </c>
      <c r="D44" s="346" t="s">
        <v>1206</v>
      </c>
      <c r="E44" s="349">
        <v>9849</v>
      </c>
      <c r="F44" s="17" t="s">
        <v>17</v>
      </c>
      <c r="G44" s="200">
        <v>9212786156</v>
      </c>
      <c r="H44" s="360"/>
      <c r="I44" s="18"/>
      <c r="J44" s="434"/>
    </row>
    <row r="45" spans="1:12" s="7" customFormat="1" ht="43" customHeight="1">
      <c r="A45" s="501">
        <v>4</v>
      </c>
      <c r="B45" s="345" t="s">
        <v>3754</v>
      </c>
      <c r="C45" s="345" t="s">
        <v>3755</v>
      </c>
      <c r="D45" s="346" t="s">
        <v>3729</v>
      </c>
      <c r="E45" s="349">
        <v>750</v>
      </c>
      <c r="F45" s="17" t="s">
        <v>13</v>
      </c>
      <c r="G45" s="200">
        <v>9599620507</v>
      </c>
      <c r="H45" s="360"/>
      <c r="I45" s="18"/>
      <c r="J45" s="434"/>
    </row>
    <row r="46" spans="1:12" s="4" customFormat="1" ht="43" customHeight="1">
      <c r="A46" s="501">
        <v>5</v>
      </c>
      <c r="B46" s="345" t="s">
        <v>65</v>
      </c>
      <c r="C46" s="345" t="s">
        <v>3753</v>
      </c>
      <c r="D46" s="346" t="s">
        <v>3713</v>
      </c>
      <c r="E46" s="349">
        <v>25072</v>
      </c>
      <c r="F46" s="17" t="s">
        <v>13</v>
      </c>
      <c r="G46" s="200">
        <v>9599620507</v>
      </c>
      <c r="H46" s="360"/>
      <c r="I46" s="18"/>
      <c r="J46" s="400"/>
    </row>
    <row r="47" spans="1:12" s="4" customFormat="1" ht="43" customHeight="1">
      <c r="A47" s="501">
        <v>6</v>
      </c>
      <c r="B47" s="345" t="s">
        <v>67</v>
      </c>
      <c r="C47" s="345" t="s">
        <v>3752</v>
      </c>
      <c r="D47" s="346" t="s">
        <v>3643</v>
      </c>
      <c r="E47" s="349">
        <v>50060</v>
      </c>
      <c r="F47" s="17" t="s">
        <v>13</v>
      </c>
      <c r="G47" s="200">
        <v>9873401989</v>
      </c>
      <c r="H47" s="360"/>
      <c r="I47" s="18"/>
      <c r="J47" s="400"/>
    </row>
    <row r="48" spans="1:12" s="4" customFormat="1" ht="43" customHeight="1">
      <c r="A48" s="501">
        <v>7</v>
      </c>
      <c r="B48" s="345" t="s">
        <v>68</v>
      </c>
      <c r="C48" s="345" t="s">
        <v>3659</v>
      </c>
      <c r="D48" s="346" t="s">
        <v>502</v>
      </c>
      <c r="E48" s="349">
        <v>29285</v>
      </c>
      <c r="F48" s="17" t="s">
        <v>69</v>
      </c>
      <c r="G48" s="200">
        <v>9312934364</v>
      </c>
      <c r="H48" s="360" t="s">
        <v>70</v>
      </c>
      <c r="I48" s="18"/>
      <c r="J48" s="400"/>
    </row>
    <row r="49" spans="1:10" s="4" customFormat="1" ht="43" customHeight="1">
      <c r="A49" s="501">
        <v>8</v>
      </c>
      <c r="B49" s="741" t="s">
        <v>77</v>
      </c>
      <c r="C49" s="741" t="s">
        <v>2232</v>
      </c>
      <c r="D49" s="742" t="s">
        <v>2089</v>
      </c>
      <c r="E49" s="746">
        <v>24978</v>
      </c>
      <c r="F49" s="29" t="s">
        <v>29</v>
      </c>
      <c r="G49" s="743">
        <v>9313537005</v>
      </c>
      <c r="H49" s="875"/>
      <c r="I49" s="833"/>
      <c r="J49" s="400"/>
    </row>
    <row r="50" spans="1:10" s="4" customFormat="1" ht="43" customHeight="1">
      <c r="A50" s="501">
        <v>9</v>
      </c>
      <c r="B50" s="345" t="s">
        <v>79</v>
      </c>
      <c r="C50" s="345" t="s">
        <v>3808</v>
      </c>
      <c r="D50" s="346" t="s">
        <v>3805</v>
      </c>
      <c r="E50" s="349">
        <v>67037</v>
      </c>
      <c r="F50" s="17" t="s">
        <v>69</v>
      </c>
      <c r="G50" s="1087">
        <v>8447203833</v>
      </c>
      <c r="H50" s="1076" t="s">
        <v>70</v>
      </c>
      <c r="I50" s="1074"/>
      <c r="J50" s="400"/>
    </row>
    <row r="51" spans="1:10" s="4" customFormat="1" ht="43" customHeight="1">
      <c r="A51" s="501">
        <v>10</v>
      </c>
      <c r="B51" s="345" t="s">
        <v>3809</v>
      </c>
      <c r="C51" s="345" t="s">
        <v>3806</v>
      </c>
      <c r="D51" s="346" t="s">
        <v>3805</v>
      </c>
      <c r="E51" s="349">
        <v>7850</v>
      </c>
      <c r="F51" s="17" t="s">
        <v>3807</v>
      </c>
      <c r="G51" s="1088"/>
      <c r="H51" s="1077"/>
      <c r="I51" s="1075"/>
      <c r="J51" s="400"/>
    </row>
    <row r="52" spans="1:10" s="7" customFormat="1" ht="43" customHeight="1">
      <c r="A52" s="501">
        <v>11</v>
      </c>
      <c r="B52" s="345" t="s">
        <v>3818</v>
      </c>
      <c r="C52" s="345" t="s">
        <v>3817</v>
      </c>
      <c r="D52" s="346" t="s">
        <v>3764</v>
      </c>
      <c r="E52" s="349">
        <v>25030</v>
      </c>
      <c r="F52" s="17" t="s">
        <v>17</v>
      </c>
      <c r="G52" s="201">
        <v>9794759222</v>
      </c>
      <c r="H52" s="995">
        <v>9582584924</v>
      </c>
      <c r="I52" s="18"/>
      <c r="J52" s="434"/>
    </row>
    <row r="53" spans="1:10" s="7" customFormat="1" ht="43" customHeight="1">
      <c r="A53" s="501">
        <v>12</v>
      </c>
      <c r="B53" s="345" t="s">
        <v>3761</v>
      </c>
      <c r="C53" s="345" t="s">
        <v>3760</v>
      </c>
      <c r="D53" s="346" t="s">
        <v>2097</v>
      </c>
      <c r="E53" s="349">
        <v>15680</v>
      </c>
      <c r="F53" s="17" t="s">
        <v>17</v>
      </c>
      <c r="G53" s="201">
        <v>9911022225</v>
      </c>
      <c r="H53" s="360" t="s">
        <v>2229</v>
      </c>
      <c r="I53" s="18"/>
      <c r="J53" s="434"/>
    </row>
    <row r="54" spans="1:10" s="7" customFormat="1" ht="43" customHeight="1">
      <c r="A54" s="501">
        <v>13</v>
      </c>
      <c r="B54" s="345" t="s">
        <v>2231</v>
      </c>
      <c r="C54" s="345" t="s">
        <v>3661</v>
      </c>
      <c r="D54" s="346" t="s">
        <v>2230</v>
      </c>
      <c r="E54" s="349">
        <v>48994</v>
      </c>
      <c r="F54" s="17" t="s">
        <v>13</v>
      </c>
      <c r="G54" s="201">
        <v>9716546589</v>
      </c>
      <c r="H54" s="360"/>
      <c r="I54" s="18"/>
      <c r="J54" s="434"/>
    </row>
    <row r="55" spans="1:10" s="7" customFormat="1" ht="43" customHeight="1">
      <c r="A55" s="501">
        <v>14</v>
      </c>
      <c r="B55" s="345" t="s">
        <v>88</v>
      </c>
      <c r="C55" s="345" t="s">
        <v>3654</v>
      </c>
      <c r="D55" s="346" t="s">
        <v>3655</v>
      </c>
      <c r="E55" s="349">
        <v>13899</v>
      </c>
      <c r="F55" s="17" t="s">
        <v>17</v>
      </c>
      <c r="G55" s="201">
        <v>9711295368</v>
      </c>
      <c r="H55" s="360" t="s">
        <v>89</v>
      </c>
      <c r="I55" s="18"/>
      <c r="J55" s="434"/>
    </row>
    <row r="56" spans="1:10" s="7" customFormat="1" ht="43" customHeight="1">
      <c r="A56" s="501">
        <v>15</v>
      </c>
      <c r="B56" s="345" t="s">
        <v>90</v>
      </c>
      <c r="C56" s="345" t="s">
        <v>3861</v>
      </c>
      <c r="D56" s="346" t="s">
        <v>2113</v>
      </c>
      <c r="E56" s="349">
        <v>24942</v>
      </c>
      <c r="F56" s="17" t="s">
        <v>17</v>
      </c>
      <c r="G56" s="201">
        <v>8800207188</v>
      </c>
      <c r="H56" s="360">
        <v>9971171792</v>
      </c>
      <c r="I56" s="18"/>
      <c r="J56" s="434"/>
    </row>
    <row r="57" spans="1:10" s="7" customFormat="1" ht="43" customHeight="1" thickBot="1">
      <c r="A57" s="481">
        <v>16</v>
      </c>
      <c r="B57" s="352" t="s">
        <v>91</v>
      </c>
      <c r="C57" s="352" t="s">
        <v>3660</v>
      </c>
      <c r="D57" s="353" t="s">
        <v>2113</v>
      </c>
      <c r="E57" s="877">
        <v>20000</v>
      </c>
      <c r="F57" s="364" t="s">
        <v>17</v>
      </c>
      <c r="G57" s="202">
        <v>7755903951</v>
      </c>
      <c r="H57" s="365"/>
      <c r="I57" s="363"/>
      <c r="J57" s="434"/>
    </row>
    <row r="58" spans="1:10" s="7" customFormat="1" ht="26" customHeight="1">
      <c r="A58" s="356"/>
      <c r="B58" s="357"/>
      <c r="C58" s="357"/>
      <c r="D58" s="358"/>
      <c r="E58" s="359"/>
      <c r="F58" s="8"/>
      <c r="G58" s="356"/>
      <c r="J58" s="434"/>
    </row>
    <row r="59" spans="1:10" s="7" customFormat="1" ht="26" customHeight="1">
      <c r="A59" s="356"/>
      <c r="B59" s="357"/>
      <c r="C59" s="357"/>
      <c r="D59" s="358"/>
      <c r="E59" s="359"/>
      <c r="F59" s="8"/>
      <c r="G59" s="356"/>
      <c r="J59" s="434"/>
    </row>
    <row r="60" spans="1:10" s="7" customFormat="1" ht="26" customHeight="1">
      <c r="A60" s="356"/>
      <c r="B60" s="357"/>
      <c r="C60" s="357"/>
      <c r="D60" s="358"/>
      <c r="E60" s="359"/>
      <c r="F60" s="8"/>
      <c r="G60" s="356"/>
      <c r="J60" s="434"/>
    </row>
    <row r="61" spans="1:10" s="7" customFormat="1" ht="26" customHeight="1">
      <c r="A61" s="356"/>
      <c r="B61" s="357"/>
      <c r="C61" s="357"/>
      <c r="D61" s="358"/>
      <c r="E61" s="359"/>
      <c r="F61" s="8"/>
      <c r="G61" s="356"/>
      <c r="J61" s="434"/>
    </row>
    <row r="62" spans="1:10" s="7" customFormat="1" ht="26" customHeight="1" thickBot="1">
      <c r="A62" s="356"/>
      <c r="B62" s="357"/>
      <c r="C62" s="357"/>
      <c r="D62" s="358"/>
      <c r="E62" s="359"/>
      <c r="F62" s="8"/>
      <c r="G62" s="356"/>
      <c r="J62" s="434"/>
    </row>
    <row r="63" spans="1:10" s="338" customFormat="1" ht="30" customHeight="1" thickBot="1">
      <c r="A63" s="1068" t="s">
        <v>0</v>
      </c>
      <c r="B63" s="1069"/>
      <c r="C63" s="1069"/>
      <c r="D63" s="1069"/>
      <c r="E63" s="1069"/>
      <c r="F63" s="1069"/>
      <c r="G63" s="1069"/>
      <c r="H63" s="1069"/>
      <c r="I63" s="1070"/>
      <c r="J63" s="400">
        <v>4</v>
      </c>
    </row>
    <row r="64" spans="1:10" s="338" customFormat="1" ht="30" customHeight="1" thickBot="1">
      <c r="A64" s="1071" t="s">
        <v>93</v>
      </c>
      <c r="B64" s="1072"/>
      <c r="C64" s="1072"/>
      <c r="D64" s="1072"/>
      <c r="E64" s="1072"/>
      <c r="F64" s="1072"/>
      <c r="G64" s="1072"/>
      <c r="H64" s="1072"/>
      <c r="I64" s="1073"/>
      <c r="J64" s="400"/>
    </row>
    <row r="65" spans="1:12" s="339" customFormat="1" ht="30" customHeight="1" thickBot="1">
      <c r="A65" s="584" t="s">
        <v>2</v>
      </c>
      <c r="B65" s="342" t="s">
        <v>3</v>
      </c>
      <c r="C65" s="342" t="s">
        <v>4</v>
      </c>
      <c r="D65" s="343" t="s">
        <v>5</v>
      </c>
      <c r="E65" s="342" t="s">
        <v>6</v>
      </c>
      <c r="F65" s="342" t="s">
        <v>7</v>
      </c>
      <c r="G65" s="342" t="s">
        <v>8</v>
      </c>
      <c r="H65" s="344" t="s">
        <v>9</v>
      </c>
      <c r="I65" s="361" t="s">
        <v>10</v>
      </c>
      <c r="J65" s="400"/>
      <c r="K65" s="338"/>
      <c r="L65" s="338"/>
    </row>
    <row r="66" spans="1:12" s="7" customFormat="1" ht="50" customHeight="1">
      <c r="A66" s="501">
        <v>1</v>
      </c>
      <c r="B66" s="345" t="s">
        <v>78</v>
      </c>
      <c r="C66" s="345" t="s">
        <v>3810</v>
      </c>
      <c r="D66" s="989" t="s">
        <v>3811</v>
      </c>
      <c r="E66" s="349">
        <v>7966</v>
      </c>
      <c r="F66" s="200" t="s">
        <v>29</v>
      </c>
      <c r="G66" s="981">
        <v>9711164950</v>
      </c>
      <c r="H66" s="366"/>
      <c r="I66" s="980"/>
      <c r="J66" s="434"/>
    </row>
    <row r="67" spans="1:12" s="4" customFormat="1" ht="50" customHeight="1">
      <c r="A67" s="956">
        <v>2</v>
      </c>
      <c r="B67" s="741" t="s">
        <v>94</v>
      </c>
      <c r="C67" s="741" t="s">
        <v>2168</v>
      </c>
      <c r="D67" s="957" t="s">
        <v>2169</v>
      </c>
      <c r="E67" s="746">
        <v>18861</v>
      </c>
      <c r="F67" s="743" t="s">
        <v>17</v>
      </c>
      <c r="G67" s="955">
        <v>9911111263</v>
      </c>
      <c r="H67" s="958" t="s">
        <v>95</v>
      </c>
      <c r="I67" s="954"/>
      <c r="J67" s="400"/>
    </row>
    <row r="68" spans="1:12" s="4" customFormat="1" ht="50" customHeight="1">
      <c r="A68" s="956">
        <v>3</v>
      </c>
      <c r="B68" s="741" t="s">
        <v>96</v>
      </c>
      <c r="C68" s="741" t="s">
        <v>2166</v>
      </c>
      <c r="D68" s="957" t="s">
        <v>2167</v>
      </c>
      <c r="E68" s="746">
        <v>15985</v>
      </c>
      <c r="F68" s="743" t="s">
        <v>17</v>
      </c>
      <c r="G68" s="955">
        <v>8826956396</v>
      </c>
      <c r="H68" s="958"/>
      <c r="I68" s="954"/>
      <c r="J68" s="400"/>
    </row>
    <row r="69" spans="1:12" s="4" customFormat="1" ht="50" customHeight="1">
      <c r="A69" s="956">
        <v>4</v>
      </c>
      <c r="B69" s="959" t="s">
        <v>97</v>
      </c>
      <c r="C69" s="959" t="s">
        <v>2237</v>
      </c>
      <c r="D69" s="957" t="s">
        <v>2199</v>
      </c>
      <c r="E69" s="960">
        <v>20913</v>
      </c>
      <c r="F69" s="955" t="s">
        <v>17</v>
      </c>
      <c r="G69" s="955">
        <v>7840095203</v>
      </c>
      <c r="H69" s="961" t="s">
        <v>170</v>
      </c>
      <c r="I69" s="835"/>
      <c r="J69" s="400"/>
    </row>
    <row r="70" spans="1:12" s="4" customFormat="1" ht="50" customHeight="1">
      <c r="A70" s="956">
        <v>5</v>
      </c>
      <c r="B70" s="959" t="s">
        <v>74</v>
      </c>
      <c r="C70" s="959" t="s">
        <v>2219</v>
      </c>
      <c r="D70" s="957" t="s">
        <v>2218</v>
      </c>
      <c r="E70" s="960">
        <v>26690</v>
      </c>
      <c r="F70" s="955" t="s">
        <v>76</v>
      </c>
      <c r="G70" s="955">
        <v>9999862403</v>
      </c>
      <c r="H70" s="961"/>
      <c r="I70" s="835"/>
      <c r="J70" s="400"/>
    </row>
    <row r="71" spans="1:12" s="4" customFormat="1" ht="50" customHeight="1">
      <c r="A71" s="956">
        <v>6</v>
      </c>
      <c r="B71" s="741" t="s">
        <v>98</v>
      </c>
      <c r="C71" s="741" t="s">
        <v>2224</v>
      </c>
      <c r="D71" s="957" t="s">
        <v>2223</v>
      </c>
      <c r="E71" s="960">
        <v>26851</v>
      </c>
      <c r="F71" s="955" t="s">
        <v>99</v>
      </c>
      <c r="G71" s="955">
        <v>9811046843</v>
      </c>
      <c r="H71" s="875"/>
      <c r="I71" s="833"/>
      <c r="J71" s="400"/>
    </row>
    <row r="72" spans="1:12" s="4" customFormat="1" ht="50" customHeight="1">
      <c r="A72" s="956">
        <v>7</v>
      </c>
      <c r="B72" s="741" t="s">
        <v>100</v>
      </c>
      <c r="C72" s="741" t="s">
        <v>2225</v>
      </c>
      <c r="D72" s="957" t="s">
        <v>2226</v>
      </c>
      <c r="E72" s="960">
        <v>8940</v>
      </c>
      <c r="F72" s="955" t="s">
        <v>17</v>
      </c>
      <c r="G72" s="955">
        <v>60</v>
      </c>
      <c r="H72" s="962" t="s">
        <v>2227</v>
      </c>
      <c r="I72" s="833"/>
      <c r="J72" s="400"/>
    </row>
    <row r="73" spans="1:12" s="4" customFormat="1" ht="50" customHeight="1">
      <c r="A73" s="956">
        <v>8</v>
      </c>
      <c r="B73" s="741" t="s">
        <v>2294</v>
      </c>
      <c r="C73" s="741" t="s">
        <v>2293</v>
      </c>
      <c r="D73" s="957" t="s">
        <v>2295</v>
      </c>
      <c r="E73" s="960">
        <v>923</v>
      </c>
      <c r="F73" s="955">
        <v>1000</v>
      </c>
      <c r="G73" s="955"/>
      <c r="H73" s="748"/>
      <c r="I73" s="833"/>
      <c r="J73" s="400"/>
    </row>
    <row r="74" spans="1:12" s="4" customFormat="1" ht="50" customHeight="1">
      <c r="A74" s="956">
        <v>9</v>
      </c>
      <c r="B74" s="741" t="s">
        <v>101</v>
      </c>
      <c r="C74" s="741" t="s">
        <v>2222</v>
      </c>
      <c r="D74" s="742" t="s">
        <v>2221</v>
      </c>
      <c r="E74" s="963">
        <v>13280</v>
      </c>
      <c r="F74" s="743" t="s">
        <v>17</v>
      </c>
      <c r="G74" s="743">
        <v>9891567863</v>
      </c>
      <c r="H74" s="875" t="s">
        <v>70</v>
      </c>
      <c r="I74" s="833"/>
      <c r="J74" s="400"/>
    </row>
    <row r="75" spans="1:12" s="4" customFormat="1" ht="50" customHeight="1" thickBot="1">
      <c r="A75" s="964">
        <v>10</v>
      </c>
      <c r="B75" s="965" t="s">
        <v>102</v>
      </c>
      <c r="C75" s="965" t="s">
        <v>2220</v>
      </c>
      <c r="D75" s="966" t="s">
        <v>2221</v>
      </c>
      <c r="E75" s="967">
        <v>29999</v>
      </c>
      <c r="F75" s="968" t="s">
        <v>17</v>
      </c>
      <c r="G75" s="968">
        <v>9899567863</v>
      </c>
      <c r="H75" s="969" t="s">
        <v>70</v>
      </c>
      <c r="I75" s="970"/>
      <c r="J75" s="400"/>
    </row>
    <row r="76" spans="1:12" s="7" customFormat="1" ht="23.5" customHeight="1">
      <c r="A76" s="356"/>
      <c r="B76" s="357"/>
      <c r="C76" s="357"/>
      <c r="D76" s="358"/>
      <c r="E76" s="359"/>
      <c r="F76" s="356"/>
      <c r="G76" s="356"/>
      <c r="J76" s="434"/>
    </row>
    <row r="77" spans="1:12" s="7" customFormat="1" ht="23.5" customHeight="1">
      <c r="A77" s="356"/>
      <c r="B77" s="357"/>
      <c r="C77" s="357"/>
      <c r="D77" s="358"/>
      <c r="E77" s="359"/>
      <c r="F77" s="356"/>
      <c r="G77" s="356"/>
      <c r="J77" s="434"/>
    </row>
    <row r="78" spans="1:12" s="7" customFormat="1" ht="23.5" customHeight="1">
      <c r="A78" s="356"/>
      <c r="B78" s="357"/>
      <c r="C78" s="357"/>
      <c r="D78" s="358"/>
      <c r="E78" s="359"/>
      <c r="F78" s="356"/>
      <c r="G78" s="356"/>
      <c r="J78" s="434"/>
    </row>
    <row r="79" spans="1:12" s="7" customFormat="1" ht="23.5" customHeight="1">
      <c r="A79" s="356"/>
      <c r="B79" s="357"/>
      <c r="C79" s="357"/>
      <c r="D79" s="358"/>
      <c r="E79" s="359"/>
      <c r="F79" s="356"/>
      <c r="G79" s="356"/>
      <c r="J79" s="434"/>
    </row>
    <row r="80" spans="1:12" s="7" customFormat="1" ht="23.5" customHeight="1">
      <c r="A80" s="356"/>
      <c r="B80" s="357"/>
      <c r="C80" s="357"/>
      <c r="D80" s="358"/>
      <c r="E80" s="359"/>
      <c r="F80" s="356"/>
      <c r="G80" s="356"/>
      <c r="J80" s="434"/>
    </row>
    <row r="81" spans="1:10" s="7" customFormat="1" ht="23.5" customHeight="1" thickBot="1">
      <c r="A81" s="356"/>
      <c r="B81" s="357"/>
      <c r="C81" s="357"/>
      <c r="D81" s="358"/>
      <c r="E81" s="359"/>
      <c r="F81" s="356"/>
      <c r="G81" s="356"/>
      <c r="J81" s="434"/>
    </row>
    <row r="82" spans="1:10" s="340" customFormat="1" ht="35.15" customHeight="1" thickBot="1">
      <c r="A82" s="585"/>
      <c r="B82" s="402"/>
      <c r="C82" s="402"/>
      <c r="D82" s="404" t="s">
        <v>103</v>
      </c>
      <c r="E82" s="402"/>
      <c r="F82" s="402"/>
      <c r="G82" s="402"/>
      <c r="H82" s="402"/>
      <c r="I82" s="403"/>
      <c r="J82" s="400">
        <v>5</v>
      </c>
    </row>
    <row r="83" spans="1:10" s="4" customFormat="1" ht="35.15" customHeight="1">
      <c r="A83" s="500">
        <v>1</v>
      </c>
      <c r="B83" s="345" t="s">
        <v>2291</v>
      </c>
      <c r="C83" s="345" t="s">
        <v>2290</v>
      </c>
      <c r="D83" s="200" t="s">
        <v>2289</v>
      </c>
      <c r="E83" s="347">
        <v>886</v>
      </c>
      <c r="F83" s="200" t="s">
        <v>13</v>
      </c>
      <c r="G83" s="1087">
        <v>9953710025</v>
      </c>
      <c r="H83" s="27"/>
      <c r="I83" s="18"/>
      <c r="J83" s="400"/>
    </row>
    <row r="84" spans="1:10" s="4" customFormat="1" ht="35.15" customHeight="1">
      <c r="A84" s="501">
        <v>2</v>
      </c>
      <c r="B84" s="345" t="s">
        <v>138</v>
      </c>
      <c r="C84" s="345" t="s">
        <v>2292</v>
      </c>
      <c r="D84" s="200" t="s">
        <v>134</v>
      </c>
      <c r="E84" s="347">
        <v>59934</v>
      </c>
      <c r="F84" s="200" t="s">
        <v>99</v>
      </c>
      <c r="G84" s="1088"/>
      <c r="H84" s="27"/>
      <c r="I84" s="18"/>
      <c r="J84" s="400"/>
    </row>
    <row r="85" spans="1:10" s="7" customFormat="1" ht="35.15" customHeight="1">
      <c r="A85" s="500">
        <v>3</v>
      </c>
      <c r="B85" s="345" t="s">
        <v>108</v>
      </c>
      <c r="C85" s="345" t="s">
        <v>2296</v>
      </c>
      <c r="D85" s="346" t="s">
        <v>2297</v>
      </c>
      <c r="E85" s="347">
        <v>20518</v>
      </c>
      <c r="F85" s="200" t="s">
        <v>17</v>
      </c>
      <c r="G85" s="200"/>
      <c r="H85" s="27" t="s">
        <v>70</v>
      </c>
      <c r="I85" s="18"/>
      <c r="J85" s="434"/>
    </row>
    <row r="86" spans="1:10" s="3" customFormat="1" ht="35.15" customHeight="1">
      <c r="A86" s="501">
        <v>4</v>
      </c>
      <c r="B86" s="345" t="s">
        <v>110</v>
      </c>
      <c r="C86" s="345" t="s">
        <v>2338</v>
      </c>
      <c r="D86" s="346" t="s">
        <v>2320</v>
      </c>
      <c r="E86" s="347">
        <v>20518</v>
      </c>
      <c r="F86" s="200" t="s">
        <v>17</v>
      </c>
      <c r="G86" s="1089">
        <v>9643619648</v>
      </c>
      <c r="H86" s="1093" t="s">
        <v>111</v>
      </c>
      <c r="I86" s="1074"/>
      <c r="J86" s="401"/>
    </row>
    <row r="87" spans="1:10" s="1" customFormat="1" ht="35.15" customHeight="1">
      <c r="A87" s="500">
        <v>5</v>
      </c>
      <c r="B87" s="345" t="s">
        <v>2151</v>
      </c>
      <c r="C87" s="345" t="s">
        <v>112</v>
      </c>
      <c r="D87" s="346" t="s">
        <v>113</v>
      </c>
      <c r="E87" s="347">
        <v>7670</v>
      </c>
      <c r="F87" s="200" t="s">
        <v>13</v>
      </c>
      <c r="G87" s="1090"/>
      <c r="H87" s="1094"/>
      <c r="I87" s="1075"/>
      <c r="J87" s="401"/>
    </row>
    <row r="88" spans="1:10" s="7" customFormat="1" ht="35.15" customHeight="1">
      <c r="A88" s="501">
        <v>6</v>
      </c>
      <c r="B88" s="345" t="s">
        <v>114</v>
      </c>
      <c r="C88" s="345" t="s">
        <v>2170</v>
      </c>
      <c r="D88" s="346" t="s">
        <v>113</v>
      </c>
      <c r="E88" s="347">
        <v>23831</v>
      </c>
      <c r="F88" s="200" t="s">
        <v>17</v>
      </c>
      <c r="G88" s="200">
        <v>9971233442</v>
      </c>
      <c r="H88" s="27" t="s">
        <v>2772</v>
      </c>
      <c r="I88" s="18"/>
      <c r="J88" s="400"/>
    </row>
    <row r="89" spans="1:10" s="7" customFormat="1" ht="35.15" customHeight="1">
      <c r="A89" s="500">
        <v>7</v>
      </c>
      <c r="B89" s="345" t="s">
        <v>115</v>
      </c>
      <c r="C89" s="345" t="s">
        <v>2171</v>
      </c>
      <c r="D89" s="346" t="s">
        <v>113</v>
      </c>
      <c r="E89" s="347">
        <v>8940</v>
      </c>
      <c r="F89" s="200" t="s">
        <v>17</v>
      </c>
      <c r="G89" s="200">
        <v>9971233442</v>
      </c>
      <c r="H89" s="27" t="s">
        <v>2772</v>
      </c>
      <c r="I89" s="18"/>
      <c r="J89" s="400"/>
    </row>
    <row r="90" spans="1:10" s="7" customFormat="1" ht="35.15" customHeight="1">
      <c r="A90" s="501">
        <v>8</v>
      </c>
      <c r="B90" s="345" t="s">
        <v>128</v>
      </c>
      <c r="C90" s="345" t="s">
        <v>2321</v>
      </c>
      <c r="D90" s="346" t="s">
        <v>2322</v>
      </c>
      <c r="E90" s="347">
        <v>26851</v>
      </c>
      <c r="F90" s="200" t="s">
        <v>99</v>
      </c>
      <c r="G90" s="200">
        <v>9958078818</v>
      </c>
      <c r="H90" s="27"/>
      <c r="I90" s="18"/>
      <c r="J90" s="434"/>
    </row>
    <row r="91" spans="1:10" s="7" customFormat="1" ht="35.15" customHeight="1">
      <c r="A91" s="500">
        <v>9</v>
      </c>
      <c r="B91" s="345" t="s">
        <v>2345</v>
      </c>
      <c r="C91" s="345" t="s">
        <v>2343</v>
      </c>
      <c r="D91" s="346" t="s">
        <v>2344</v>
      </c>
      <c r="E91" s="347">
        <v>6800</v>
      </c>
      <c r="F91" s="200" t="s">
        <v>17</v>
      </c>
      <c r="G91" s="200">
        <v>9999939247</v>
      </c>
      <c r="H91" s="27"/>
      <c r="I91" s="18"/>
      <c r="J91" s="434"/>
    </row>
    <row r="92" spans="1:10" s="7" customFormat="1" ht="35.15" customHeight="1">
      <c r="A92" s="501">
        <v>10</v>
      </c>
      <c r="B92" s="345" t="s">
        <v>130</v>
      </c>
      <c r="C92" s="345" t="s">
        <v>2342</v>
      </c>
      <c r="D92" s="346" t="s">
        <v>134</v>
      </c>
      <c r="E92" s="347">
        <v>31075</v>
      </c>
      <c r="F92" s="200" t="s">
        <v>69</v>
      </c>
      <c r="G92" s="200">
        <v>9811079541</v>
      </c>
      <c r="H92" s="27" t="s">
        <v>132</v>
      </c>
      <c r="I92" s="18"/>
      <c r="J92" s="434"/>
    </row>
    <row r="93" spans="1:10" s="7" customFormat="1" ht="35.15" customHeight="1">
      <c r="A93" s="500">
        <v>11</v>
      </c>
      <c r="B93" s="345" t="s">
        <v>2614</v>
      </c>
      <c r="C93" s="345" t="s">
        <v>133</v>
      </c>
      <c r="D93" s="346" t="s">
        <v>134</v>
      </c>
      <c r="E93" s="347">
        <v>107106</v>
      </c>
      <c r="F93" s="200" t="s">
        <v>99</v>
      </c>
      <c r="G93" s="200">
        <v>9899611448</v>
      </c>
      <c r="H93" s="27" t="s">
        <v>2773</v>
      </c>
      <c r="I93" s="18"/>
      <c r="J93" s="400"/>
    </row>
    <row r="94" spans="1:10" s="7" customFormat="1" ht="35.15" customHeight="1">
      <c r="A94" s="501">
        <v>12</v>
      </c>
      <c r="B94" s="345" t="s">
        <v>135</v>
      </c>
      <c r="C94" s="345" t="s">
        <v>136</v>
      </c>
      <c r="D94" s="346" t="s">
        <v>137</v>
      </c>
      <c r="E94" s="347">
        <v>37535</v>
      </c>
      <c r="F94" s="200" t="s">
        <v>99</v>
      </c>
      <c r="G94" s="200">
        <v>9899611448</v>
      </c>
      <c r="H94" s="27" t="s">
        <v>2773</v>
      </c>
      <c r="I94" s="18"/>
      <c r="J94" s="400"/>
    </row>
    <row r="95" spans="1:10" s="7" customFormat="1" ht="35.15" customHeight="1">
      <c r="A95" s="500">
        <v>13</v>
      </c>
      <c r="B95" s="345" t="s">
        <v>139</v>
      </c>
      <c r="C95" s="345" t="s">
        <v>2341</v>
      </c>
      <c r="D95" s="346" t="s">
        <v>134</v>
      </c>
      <c r="E95" s="347">
        <v>13190</v>
      </c>
      <c r="F95" s="200" t="s">
        <v>17</v>
      </c>
      <c r="G95" s="200">
        <v>9811684767</v>
      </c>
      <c r="H95" s="27" t="s">
        <v>140</v>
      </c>
      <c r="I95" s="18"/>
      <c r="J95" s="400"/>
    </row>
    <row r="96" spans="1:10" s="7" customFormat="1" ht="35.15" customHeight="1">
      <c r="A96" s="501">
        <v>14</v>
      </c>
      <c r="B96" s="345" t="s">
        <v>2347</v>
      </c>
      <c r="C96" s="345" t="s">
        <v>2372</v>
      </c>
      <c r="D96" s="346" t="s">
        <v>2373</v>
      </c>
      <c r="E96" s="347">
        <v>32606</v>
      </c>
      <c r="F96" s="200" t="s">
        <v>13</v>
      </c>
      <c r="G96" s="200">
        <v>8076580215</v>
      </c>
      <c r="H96" s="27"/>
      <c r="I96" s="18"/>
      <c r="J96" s="400"/>
    </row>
    <row r="97" spans="1:10" s="7" customFormat="1" ht="35.15" customHeight="1">
      <c r="A97" s="500">
        <v>15</v>
      </c>
      <c r="B97" s="345" t="s">
        <v>2431</v>
      </c>
      <c r="C97" s="345" t="s">
        <v>2432</v>
      </c>
      <c r="D97" s="346" t="s">
        <v>2331</v>
      </c>
      <c r="E97" s="347">
        <v>11800</v>
      </c>
      <c r="F97" s="200" t="s">
        <v>13</v>
      </c>
      <c r="G97" s="200">
        <v>8588941284</v>
      </c>
      <c r="H97" s="27"/>
      <c r="I97" s="18"/>
      <c r="J97" s="400"/>
    </row>
    <row r="98" spans="1:10" s="7" customFormat="1" ht="35.15" customHeight="1">
      <c r="A98" s="501">
        <v>16</v>
      </c>
      <c r="B98" s="345" t="s">
        <v>144</v>
      </c>
      <c r="C98" s="345" t="s">
        <v>2346</v>
      </c>
      <c r="D98" s="346" t="s">
        <v>2331</v>
      </c>
      <c r="E98" s="347">
        <v>13441</v>
      </c>
      <c r="F98" s="200" t="s">
        <v>17</v>
      </c>
      <c r="G98" s="200">
        <v>9971236515</v>
      </c>
      <c r="H98" s="27"/>
      <c r="I98" s="18"/>
      <c r="J98" s="400"/>
    </row>
    <row r="99" spans="1:10" s="7" customFormat="1" ht="35.15" customHeight="1">
      <c r="A99" s="500">
        <v>17</v>
      </c>
      <c r="B99" s="345" t="s">
        <v>145</v>
      </c>
      <c r="C99" s="345" t="s">
        <v>2348</v>
      </c>
      <c r="D99" s="346" t="s">
        <v>2349</v>
      </c>
      <c r="E99" s="347">
        <v>28052</v>
      </c>
      <c r="F99" s="200" t="s">
        <v>13</v>
      </c>
      <c r="G99" s="200">
        <v>9990179288</v>
      </c>
      <c r="H99" s="27"/>
      <c r="I99" s="18"/>
      <c r="J99" s="400"/>
    </row>
    <row r="100" spans="1:10" s="7" customFormat="1" ht="35.15" customHeight="1">
      <c r="A100" s="501">
        <v>18</v>
      </c>
      <c r="B100" s="345" t="s">
        <v>146</v>
      </c>
      <c r="C100" s="345" t="s">
        <v>2367</v>
      </c>
      <c r="D100" s="346" t="s">
        <v>2349</v>
      </c>
      <c r="E100" s="347">
        <v>4973</v>
      </c>
      <c r="F100" s="200" t="s">
        <v>29</v>
      </c>
      <c r="G100" s="200">
        <v>9811487150</v>
      </c>
      <c r="H100" s="20">
        <v>9716489778</v>
      </c>
      <c r="I100" s="36" t="s">
        <v>147</v>
      </c>
      <c r="J100" s="400"/>
    </row>
    <row r="101" spans="1:10" s="7" customFormat="1" ht="35.15" customHeight="1">
      <c r="A101" s="500">
        <v>19</v>
      </c>
      <c r="B101" s="345" t="s">
        <v>141</v>
      </c>
      <c r="C101" s="345" t="s">
        <v>2430</v>
      </c>
      <c r="D101" s="346" t="s">
        <v>2381</v>
      </c>
      <c r="E101" s="347">
        <v>40182</v>
      </c>
      <c r="F101" s="200" t="s">
        <v>69</v>
      </c>
      <c r="G101" s="200">
        <v>9818433054</v>
      </c>
      <c r="H101" s="27" t="s">
        <v>143</v>
      </c>
      <c r="I101" s="18"/>
      <c r="J101" s="400"/>
    </row>
    <row r="102" spans="1:10" s="7" customFormat="1" ht="43" customHeight="1" thickBot="1">
      <c r="A102" s="481">
        <v>20</v>
      </c>
      <c r="B102" s="352" t="s">
        <v>148</v>
      </c>
      <c r="C102" s="352" t="s">
        <v>2429</v>
      </c>
      <c r="D102" s="353" t="s">
        <v>2258</v>
      </c>
      <c r="E102" s="460">
        <v>36540</v>
      </c>
      <c r="F102" s="202" t="s">
        <v>76</v>
      </c>
      <c r="G102" s="202">
        <v>41</v>
      </c>
      <c r="H102" s="199">
        <v>9810484569</v>
      </c>
      <c r="I102" s="363"/>
      <c r="J102" s="434"/>
    </row>
    <row r="103" spans="1:10" s="7" customFormat="1" ht="22.5" customHeight="1" thickBot="1">
      <c r="A103" s="356"/>
      <c r="B103" s="357"/>
      <c r="C103" s="357"/>
      <c r="D103" s="358"/>
      <c r="E103" s="359"/>
      <c r="F103" s="356"/>
      <c r="G103" s="356"/>
      <c r="J103" s="400"/>
    </row>
    <row r="104" spans="1:10" s="340" customFormat="1" ht="30" customHeight="1" thickBot="1">
      <c r="A104" s="585"/>
      <c r="B104" s="402"/>
      <c r="C104" s="402"/>
      <c r="D104" s="404" t="s">
        <v>149</v>
      </c>
      <c r="E104" s="402"/>
      <c r="F104" s="402"/>
      <c r="G104" s="402"/>
      <c r="H104" s="402"/>
      <c r="I104" s="528"/>
      <c r="J104" s="400">
        <v>6</v>
      </c>
    </row>
    <row r="105" spans="1:10" s="338" customFormat="1" ht="27" customHeight="1">
      <c r="A105" s="583">
        <v>1</v>
      </c>
      <c r="B105" s="367" t="s">
        <v>150</v>
      </c>
      <c r="C105" s="375" t="s">
        <v>2374</v>
      </c>
      <c r="D105" s="376" t="s">
        <v>2376</v>
      </c>
      <c r="E105" s="377">
        <v>29999</v>
      </c>
      <c r="F105" s="378" t="s">
        <v>17</v>
      </c>
      <c r="G105" s="378">
        <v>8272000108</v>
      </c>
      <c r="H105" s="513" t="s">
        <v>151</v>
      </c>
      <c r="I105" s="382"/>
      <c r="J105" s="471"/>
    </row>
    <row r="106" spans="1:10" s="338" customFormat="1" ht="27" customHeight="1">
      <c r="A106" s="500">
        <v>2</v>
      </c>
      <c r="B106" s="367" t="s">
        <v>2375</v>
      </c>
      <c r="C106" s="514" t="s">
        <v>2433</v>
      </c>
      <c r="D106" s="515" t="s">
        <v>2434</v>
      </c>
      <c r="E106" s="516">
        <v>8940</v>
      </c>
      <c r="F106" s="470" t="s">
        <v>17</v>
      </c>
      <c r="G106" s="470">
        <v>8265950716</v>
      </c>
      <c r="H106" s="517" t="s">
        <v>151</v>
      </c>
      <c r="I106" s="518"/>
      <c r="J106" s="471"/>
    </row>
    <row r="107" spans="1:10" s="338" customFormat="1" ht="27" customHeight="1">
      <c r="A107" s="500">
        <v>3</v>
      </c>
      <c r="B107" s="367" t="s">
        <v>152</v>
      </c>
      <c r="C107" s="514" t="s">
        <v>2441</v>
      </c>
      <c r="D107" s="515" t="s">
        <v>2376</v>
      </c>
      <c r="E107" s="516">
        <v>25023</v>
      </c>
      <c r="F107" s="470" t="s">
        <v>99</v>
      </c>
      <c r="G107" s="470">
        <v>9891919287</v>
      </c>
      <c r="H107" s="517"/>
      <c r="I107" s="518"/>
      <c r="J107" s="471"/>
    </row>
    <row r="108" spans="1:10" s="338" customFormat="1" ht="27" customHeight="1">
      <c r="A108" s="500">
        <v>4</v>
      </c>
      <c r="B108" s="367" t="s">
        <v>153</v>
      </c>
      <c r="C108" s="514" t="s">
        <v>154</v>
      </c>
      <c r="D108" s="515" t="s">
        <v>2411</v>
      </c>
      <c r="E108" s="516">
        <v>29536</v>
      </c>
      <c r="F108" s="470" t="s">
        <v>13</v>
      </c>
      <c r="G108" s="470">
        <v>9811944477</v>
      </c>
      <c r="H108" s="517" t="s">
        <v>2773</v>
      </c>
      <c r="I108" s="518"/>
      <c r="J108" s="471"/>
    </row>
    <row r="109" spans="1:10" s="7" customFormat="1" ht="27" customHeight="1">
      <c r="A109" s="500">
        <v>5</v>
      </c>
      <c r="B109" s="367" t="s">
        <v>2350</v>
      </c>
      <c r="C109" s="27" t="s">
        <v>155</v>
      </c>
      <c r="D109" s="369" t="s">
        <v>156</v>
      </c>
      <c r="E109" s="16">
        <v>67749</v>
      </c>
      <c r="F109" s="17" t="s">
        <v>13</v>
      </c>
      <c r="G109" s="17">
        <v>9953076899</v>
      </c>
      <c r="H109" s="360"/>
      <c r="I109" s="18"/>
      <c r="J109" s="400"/>
    </row>
    <row r="110" spans="1:10" s="7" customFormat="1" ht="27" customHeight="1">
      <c r="A110" s="500">
        <v>6</v>
      </c>
      <c r="B110" s="367" t="s">
        <v>157</v>
      </c>
      <c r="C110" s="27" t="s">
        <v>2442</v>
      </c>
      <c r="D110" s="369" t="s">
        <v>2371</v>
      </c>
      <c r="E110" s="16">
        <v>10855</v>
      </c>
      <c r="F110" s="17" t="s">
        <v>13</v>
      </c>
      <c r="G110" s="17">
        <v>9873652422</v>
      </c>
      <c r="H110" s="360"/>
      <c r="I110" s="18"/>
      <c r="J110" s="400"/>
    </row>
    <row r="111" spans="1:10" s="338" customFormat="1" ht="27" customHeight="1">
      <c r="A111" s="500">
        <v>7</v>
      </c>
      <c r="B111" s="367" t="s">
        <v>158</v>
      </c>
      <c r="C111" s="367" t="s">
        <v>2370</v>
      </c>
      <c r="D111" s="379" t="s">
        <v>2371</v>
      </c>
      <c r="E111" s="380">
        <v>12394</v>
      </c>
      <c r="F111" s="381" t="s">
        <v>13</v>
      </c>
      <c r="G111" s="381">
        <v>8587940667</v>
      </c>
      <c r="H111" s="519"/>
      <c r="I111" s="384"/>
      <c r="J111" s="471"/>
    </row>
    <row r="112" spans="1:10" s="338" customFormat="1" ht="27" customHeight="1">
      <c r="A112" s="500">
        <v>8</v>
      </c>
      <c r="B112" s="367" t="s">
        <v>159</v>
      </c>
      <c r="C112" s="367" t="s">
        <v>2428</v>
      </c>
      <c r="D112" s="379" t="s">
        <v>2371</v>
      </c>
      <c r="E112" s="380">
        <v>32816</v>
      </c>
      <c r="F112" s="381" t="s">
        <v>17</v>
      </c>
      <c r="G112" s="381">
        <v>8860739844</v>
      </c>
      <c r="H112" s="519" t="s">
        <v>160</v>
      </c>
      <c r="I112" s="384"/>
      <c r="J112" s="471"/>
    </row>
    <row r="113" spans="1:10" s="338" customFormat="1" ht="27" customHeight="1">
      <c r="A113" s="500">
        <v>9</v>
      </c>
      <c r="B113" s="367" t="s">
        <v>2438</v>
      </c>
      <c r="C113" s="367" t="s">
        <v>2435</v>
      </c>
      <c r="D113" s="379" t="s">
        <v>2436</v>
      </c>
      <c r="E113" s="380">
        <v>10207</v>
      </c>
      <c r="F113" s="35" t="s">
        <v>2439</v>
      </c>
      <c r="G113" s="381">
        <v>8860080962</v>
      </c>
      <c r="H113" s="519" t="s">
        <v>2440</v>
      </c>
      <c r="I113" s="384"/>
      <c r="J113" s="471"/>
    </row>
    <row r="114" spans="1:10" s="338" customFormat="1" ht="27" customHeight="1">
      <c r="A114" s="500">
        <v>10</v>
      </c>
      <c r="B114" s="367" t="s">
        <v>165</v>
      </c>
      <c r="C114" s="367" t="s">
        <v>2446</v>
      </c>
      <c r="D114" s="379" t="s">
        <v>2447</v>
      </c>
      <c r="E114" s="380">
        <v>11800</v>
      </c>
      <c r="F114" s="35" t="s">
        <v>13</v>
      </c>
      <c r="G114" s="381">
        <v>9650404943</v>
      </c>
      <c r="H114" s="519" t="s">
        <v>2448</v>
      </c>
      <c r="I114" s="384"/>
      <c r="J114" s="471"/>
    </row>
    <row r="115" spans="1:10" s="338" customFormat="1" ht="27" customHeight="1">
      <c r="A115" s="500">
        <v>11</v>
      </c>
      <c r="B115" s="367" t="s">
        <v>166</v>
      </c>
      <c r="C115" s="367" t="s">
        <v>2503</v>
      </c>
      <c r="D115" s="379" t="s">
        <v>2492</v>
      </c>
      <c r="E115" s="380">
        <v>25107</v>
      </c>
      <c r="F115" s="35" t="s">
        <v>13</v>
      </c>
      <c r="G115" s="381">
        <v>9810001147</v>
      </c>
      <c r="H115" s="519"/>
      <c r="I115" s="384"/>
      <c r="J115" s="471"/>
    </row>
    <row r="116" spans="1:10" s="7" customFormat="1" ht="27" customHeight="1">
      <c r="A116" s="500">
        <v>12</v>
      </c>
      <c r="B116" s="367" t="s">
        <v>171</v>
      </c>
      <c r="C116" s="27" t="s">
        <v>2509</v>
      </c>
      <c r="D116" s="369" t="s">
        <v>2369</v>
      </c>
      <c r="E116" s="16">
        <v>2213</v>
      </c>
      <c r="F116" s="17" t="s">
        <v>172</v>
      </c>
      <c r="G116" s="1082">
        <v>8860552418</v>
      </c>
      <c r="H116" s="1082"/>
      <c r="I116" s="1074"/>
      <c r="J116" s="434"/>
    </row>
    <row r="117" spans="1:10" s="7" customFormat="1" ht="27" customHeight="1">
      <c r="A117" s="500">
        <v>13</v>
      </c>
      <c r="B117" s="367" t="s">
        <v>173</v>
      </c>
      <c r="C117" s="27" t="s">
        <v>2504</v>
      </c>
      <c r="D117" s="369" t="s">
        <v>2455</v>
      </c>
      <c r="E117" s="16">
        <v>19786</v>
      </c>
      <c r="F117" s="17" t="s">
        <v>13</v>
      </c>
      <c r="G117" s="1083"/>
      <c r="H117" s="1083"/>
      <c r="I117" s="1075"/>
      <c r="J117" s="434"/>
    </row>
    <row r="118" spans="1:10" s="7" customFormat="1" ht="27" customHeight="1">
      <c r="A118" s="500">
        <v>14</v>
      </c>
      <c r="B118" s="367" t="s">
        <v>174</v>
      </c>
      <c r="C118" s="27" t="s">
        <v>2450</v>
      </c>
      <c r="D118" s="369" t="s">
        <v>2447</v>
      </c>
      <c r="E118" s="16">
        <v>12626</v>
      </c>
      <c r="F118" s="17" t="s">
        <v>76</v>
      </c>
      <c r="G118" s="1091">
        <v>7827514577</v>
      </c>
      <c r="H118" s="1095" t="s">
        <v>2772</v>
      </c>
      <c r="I118" s="1081"/>
      <c r="J118" s="434"/>
    </row>
    <row r="119" spans="1:10" s="7" customFormat="1" ht="27" customHeight="1">
      <c r="A119" s="500">
        <v>15</v>
      </c>
      <c r="B119" s="367" t="s">
        <v>175</v>
      </c>
      <c r="C119" s="27" t="s">
        <v>2449</v>
      </c>
      <c r="D119" s="369" t="s">
        <v>2447</v>
      </c>
      <c r="E119" s="16">
        <v>12626</v>
      </c>
      <c r="F119" s="17" t="s">
        <v>76</v>
      </c>
      <c r="G119" s="1083"/>
      <c r="H119" s="1077"/>
      <c r="I119" s="1075"/>
      <c r="J119" s="434"/>
    </row>
    <row r="120" spans="1:10" s="338" customFormat="1" ht="27" customHeight="1">
      <c r="A120" s="500">
        <v>16</v>
      </c>
      <c r="B120" s="367" t="s">
        <v>176</v>
      </c>
      <c r="C120" s="367" t="s">
        <v>2368</v>
      </c>
      <c r="D120" s="379" t="s">
        <v>2369</v>
      </c>
      <c r="E120" s="380">
        <v>5835</v>
      </c>
      <c r="F120" s="520" t="s">
        <v>2831</v>
      </c>
      <c r="G120" s="470">
        <v>9999246966</v>
      </c>
      <c r="H120" s="521" t="s">
        <v>2773</v>
      </c>
      <c r="I120" s="384"/>
      <c r="J120" s="471"/>
    </row>
    <row r="121" spans="1:10" s="338" customFormat="1" ht="27" customHeight="1">
      <c r="A121" s="500">
        <v>17</v>
      </c>
      <c r="B121" s="367" t="s">
        <v>177</v>
      </c>
      <c r="C121" s="367" t="s">
        <v>2473</v>
      </c>
      <c r="D121" s="379" t="s">
        <v>2472</v>
      </c>
      <c r="E121" s="380">
        <v>26549</v>
      </c>
      <c r="F121" s="520" t="s">
        <v>13</v>
      </c>
      <c r="G121" s="470">
        <v>9599507299</v>
      </c>
      <c r="H121" s="521" t="s">
        <v>2468</v>
      </c>
      <c r="I121" s="384"/>
      <c r="J121" s="471"/>
    </row>
    <row r="122" spans="1:10" s="338" customFormat="1" ht="27" customHeight="1">
      <c r="A122" s="500">
        <v>18</v>
      </c>
      <c r="B122" s="367" t="s">
        <v>180</v>
      </c>
      <c r="C122" s="367" t="s">
        <v>2510</v>
      </c>
      <c r="D122" s="379" t="s">
        <v>2472</v>
      </c>
      <c r="E122" s="380">
        <v>30551</v>
      </c>
      <c r="F122" s="520" t="s">
        <v>17</v>
      </c>
      <c r="G122" s="470">
        <v>8860628638</v>
      </c>
      <c r="H122" s="522">
        <v>9213185714</v>
      </c>
      <c r="I122" s="384"/>
      <c r="J122" s="471"/>
    </row>
    <row r="123" spans="1:10" s="7" customFormat="1" ht="27" customHeight="1">
      <c r="A123" s="500">
        <v>19</v>
      </c>
      <c r="B123" s="367" t="s">
        <v>181</v>
      </c>
      <c r="C123" s="27" t="s">
        <v>2511</v>
      </c>
      <c r="D123" s="369" t="s">
        <v>2472</v>
      </c>
      <c r="E123" s="16">
        <v>34557</v>
      </c>
      <c r="F123" s="17" t="s">
        <v>69</v>
      </c>
      <c r="G123" s="33">
        <v>9810356666</v>
      </c>
      <c r="H123" s="360"/>
      <c r="I123" s="18"/>
      <c r="J123" s="434"/>
    </row>
    <row r="124" spans="1:10" s="7" customFormat="1" ht="27" customHeight="1">
      <c r="A124" s="500">
        <v>20</v>
      </c>
      <c r="B124" s="367" t="s">
        <v>182</v>
      </c>
      <c r="C124" s="27" t="s">
        <v>2512</v>
      </c>
      <c r="D124" s="369" t="s">
        <v>2513</v>
      </c>
      <c r="E124" s="16">
        <v>18068</v>
      </c>
      <c r="F124" s="17" t="s">
        <v>17</v>
      </c>
      <c r="G124" s="33">
        <v>9871463625</v>
      </c>
      <c r="H124" s="360" t="s">
        <v>183</v>
      </c>
      <c r="I124" s="18"/>
      <c r="J124" s="434"/>
    </row>
    <row r="125" spans="1:10" s="338" customFormat="1" ht="27" customHeight="1">
      <c r="A125" s="500">
        <v>21</v>
      </c>
      <c r="B125" s="367" t="s">
        <v>184</v>
      </c>
      <c r="C125" s="367" t="s">
        <v>2453</v>
      </c>
      <c r="D125" s="379" t="s">
        <v>2454</v>
      </c>
      <c r="E125" s="380">
        <v>32893</v>
      </c>
      <c r="F125" s="520" t="s">
        <v>17</v>
      </c>
      <c r="G125" s="470">
        <v>9968217339</v>
      </c>
      <c r="H125" s="521"/>
      <c r="I125" s="384"/>
      <c r="J125" s="471"/>
    </row>
    <row r="126" spans="1:10" s="338" customFormat="1" ht="27" customHeight="1">
      <c r="A126" s="500">
        <v>22</v>
      </c>
      <c r="B126" s="367" t="s">
        <v>188</v>
      </c>
      <c r="C126" s="367" t="s">
        <v>2514</v>
      </c>
      <c r="D126" s="379" t="s">
        <v>2499</v>
      </c>
      <c r="E126" s="380">
        <v>36397</v>
      </c>
      <c r="F126" s="520" t="s">
        <v>17</v>
      </c>
      <c r="G126" s="470">
        <v>8076993623</v>
      </c>
      <c r="H126" s="521" t="s">
        <v>189</v>
      </c>
      <c r="I126" s="384"/>
      <c r="J126" s="471"/>
    </row>
    <row r="127" spans="1:10" s="338" customFormat="1" ht="27" customHeight="1">
      <c r="A127" s="500">
        <v>23</v>
      </c>
      <c r="B127" s="367" t="s">
        <v>2521</v>
      </c>
      <c r="C127" s="367" t="s">
        <v>2520</v>
      </c>
      <c r="D127" s="379" t="s">
        <v>2414</v>
      </c>
      <c r="E127" s="380">
        <v>13457</v>
      </c>
      <c r="F127" s="520" t="s">
        <v>13</v>
      </c>
      <c r="G127" s="470">
        <v>9354549332</v>
      </c>
      <c r="H127" s="521"/>
      <c r="I127" s="384"/>
      <c r="J127" s="471"/>
    </row>
    <row r="128" spans="1:10" s="338" customFormat="1" ht="27" customHeight="1">
      <c r="A128" s="500">
        <v>24</v>
      </c>
      <c r="B128" s="367" t="s">
        <v>2529</v>
      </c>
      <c r="C128" s="367" t="s">
        <v>2530</v>
      </c>
      <c r="D128" s="379" t="s">
        <v>2419</v>
      </c>
      <c r="E128" s="380">
        <v>35535</v>
      </c>
      <c r="F128" s="520" t="s">
        <v>13</v>
      </c>
      <c r="G128" s="470">
        <v>9250022950</v>
      </c>
      <c r="H128" s="521" t="s">
        <v>2531</v>
      </c>
      <c r="I128" s="384"/>
      <c r="J128" s="471"/>
    </row>
    <row r="129" spans="1:10" s="338" customFormat="1" ht="27" customHeight="1">
      <c r="A129" s="500">
        <v>25</v>
      </c>
      <c r="B129" s="367" t="s">
        <v>190</v>
      </c>
      <c r="C129" s="367" t="s">
        <v>2515</v>
      </c>
      <c r="D129" s="379" t="s">
        <v>2419</v>
      </c>
      <c r="E129" s="380">
        <v>6408</v>
      </c>
      <c r="F129" s="520" t="s">
        <v>13</v>
      </c>
      <c r="G129" s="470">
        <v>9899292760</v>
      </c>
      <c r="H129" s="521" t="s">
        <v>191</v>
      </c>
      <c r="I129" s="384"/>
      <c r="J129" s="471"/>
    </row>
    <row r="130" spans="1:10" s="338" customFormat="1" ht="27" customHeight="1">
      <c r="A130" s="500">
        <v>26</v>
      </c>
      <c r="B130" s="367" t="s">
        <v>192</v>
      </c>
      <c r="C130" s="367" t="s">
        <v>2525</v>
      </c>
      <c r="D130" s="379" t="s">
        <v>2455</v>
      </c>
      <c r="E130" s="380">
        <v>37448</v>
      </c>
      <c r="F130" s="381" t="s">
        <v>69</v>
      </c>
      <c r="G130" s="470">
        <v>9871897070</v>
      </c>
      <c r="H130" s="521" t="s">
        <v>193</v>
      </c>
      <c r="I130" s="384"/>
      <c r="J130" s="471"/>
    </row>
    <row r="131" spans="1:10" s="338" customFormat="1" ht="27" customHeight="1">
      <c r="A131" s="500">
        <v>27</v>
      </c>
      <c r="B131" s="367" t="s">
        <v>194</v>
      </c>
      <c r="C131" s="367" t="s">
        <v>2526</v>
      </c>
      <c r="D131" s="379" t="s">
        <v>2455</v>
      </c>
      <c r="E131" s="380">
        <v>18275</v>
      </c>
      <c r="F131" s="520" t="s">
        <v>17</v>
      </c>
      <c r="G131" s="470">
        <v>8459130015</v>
      </c>
      <c r="H131" s="521"/>
      <c r="I131" s="384"/>
      <c r="J131" s="471"/>
    </row>
    <row r="132" spans="1:10" s="7" customFormat="1" ht="27" customHeight="1" thickBot="1">
      <c r="A132" s="481">
        <v>28</v>
      </c>
      <c r="B132" s="527" t="s">
        <v>195</v>
      </c>
      <c r="C132" s="368" t="s">
        <v>2516</v>
      </c>
      <c r="D132" s="523" t="s">
        <v>2455</v>
      </c>
      <c r="E132" s="524">
        <v>29536</v>
      </c>
      <c r="F132" s="525" t="s">
        <v>13</v>
      </c>
      <c r="G132" s="525">
        <v>9311991079</v>
      </c>
      <c r="H132" s="365" t="s">
        <v>36</v>
      </c>
      <c r="I132" s="526"/>
      <c r="J132" s="434"/>
    </row>
    <row r="133" spans="1:10" s="340" customFormat="1" ht="35.15" customHeight="1" thickBot="1">
      <c r="A133" s="585"/>
      <c r="B133" s="402"/>
      <c r="C133" s="402"/>
      <c r="D133" s="404" t="s">
        <v>196</v>
      </c>
      <c r="E133" s="402"/>
      <c r="F133" s="402"/>
      <c r="G133" s="402"/>
      <c r="H133" s="402"/>
      <c r="I133" s="403"/>
      <c r="J133" s="400">
        <v>7</v>
      </c>
    </row>
    <row r="134" spans="1:10" s="7" customFormat="1" ht="35" customHeight="1">
      <c r="A134" s="501">
        <v>1</v>
      </c>
      <c r="B134" s="27" t="s">
        <v>197</v>
      </c>
      <c r="C134" s="27" t="s">
        <v>198</v>
      </c>
      <c r="D134" s="369" t="s">
        <v>199</v>
      </c>
      <c r="E134" s="16">
        <v>126071</v>
      </c>
      <c r="F134" s="17" t="s">
        <v>13</v>
      </c>
      <c r="G134" s="17">
        <v>9999120012</v>
      </c>
      <c r="H134" s="27" t="s">
        <v>2773</v>
      </c>
      <c r="I134" s="18"/>
      <c r="J134" s="400"/>
    </row>
    <row r="135" spans="1:10" s="338" customFormat="1" ht="35" customHeight="1">
      <c r="A135" s="501">
        <v>2</v>
      </c>
      <c r="B135" s="27" t="s">
        <v>200</v>
      </c>
      <c r="C135" s="494" t="s">
        <v>2576</v>
      </c>
      <c r="D135" s="379" t="s">
        <v>2577</v>
      </c>
      <c r="E135" s="380">
        <v>20913</v>
      </c>
      <c r="F135" s="381" t="s">
        <v>17</v>
      </c>
      <c r="G135" s="470">
        <v>9555321605</v>
      </c>
      <c r="H135" s="494" t="s">
        <v>160</v>
      </c>
      <c r="I135" s="384"/>
      <c r="J135" s="471"/>
    </row>
    <row r="136" spans="1:10" s="338" customFormat="1" ht="35" customHeight="1">
      <c r="A136" s="501">
        <v>3</v>
      </c>
      <c r="B136" s="27" t="s">
        <v>201</v>
      </c>
      <c r="C136" s="494" t="s">
        <v>2527</v>
      </c>
      <c r="D136" s="379" t="s">
        <v>2528</v>
      </c>
      <c r="E136" s="380">
        <v>4532</v>
      </c>
      <c r="F136" s="381" t="s">
        <v>29</v>
      </c>
      <c r="G136" s="470">
        <v>9910103477</v>
      </c>
      <c r="H136" s="494"/>
      <c r="I136" s="384"/>
      <c r="J136" s="471"/>
    </row>
    <row r="137" spans="1:10" s="338" customFormat="1" ht="35" customHeight="1">
      <c r="A137" s="501">
        <v>4</v>
      </c>
      <c r="B137" s="27" t="s">
        <v>204</v>
      </c>
      <c r="C137" s="494" t="s">
        <v>2557</v>
      </c>
      <c r="D137" s="379" t="s">
        <v>2558</v>
      </c>
      <c r="E137" s="380">
        <v>74921</v>
      </c>
      <c r="F137" s="381" t="s">
        <v>99</v>
      </c>
      <c r="G137" s="470">
        <v>9810222427</v>
      </c>
      <c r="H137" s="494" t="s">
        <v>2772</v>
      </c>
      <c r="I137" s="384"/>
      <c r="J137" s="471"/>
    </row>
    <row r="138" spans="1:10" s="338" customFormat="1" ht="35" customHeight="1">
      <c r="A138" s="501">
        <v>5</v>
      </c>
      <c r="B138" s="27" t="s">
        <v>2646</v>
      </c>
      <c r="C138" s="494" t="s">
        <v>2644</v>
      </c>
      <c r="D138" s="379" t="s">
        <v>2645</v>
      </c>
      <c r="E138" s="380">
        <v>50522</v>
      </c>
      <c r="F138" s="381" t="s">
        <v>13</v>
      </c>
      <c r="G138" s="470">
        <v>9899165730</v>
      </c>
      <c r="H138" s="494" t="s">
        <v>2575</v>
      </c>
      <c r="I138" s="384"/>
      <c r="J138" s="471"/>
    </row>
    <row r="139" spans="1:10" s="7" customFormat="1" ht="35" customHeight="1">
      <c r="A139" s="501">
        <v>6</v>
      </c>
      <c r="B139" s="27" t="s">
        <v>3588</v>
      </c>
      <c r="C139" s="27" t="s">
        <v>205</v>
      </c>
      <c r="D139" s="369" t="s">
        <v>2491</v>
      </c>
      <c r="E139" s="16">
        <v>36523</v>
      </c>
      <c r="F139" s="17" t="s">
        <v>13</v>
      </c>
      <c r="G139" s="17">
        <v>9871862353</v>
      </c>
      <c r="H139" s="14"/>
      <c r="I139" s="18"/>
      <c r="J139" s="434"/>
    </row>
    <row r="140" spans="1:10" s="7" customFormat="1" ht="35" customHeight="1">
      <c r="A140" s="501">
        <v>7</v>
      </c>
      <c r="B140" s="27" t="s">
        <v>207</v>
      </c>
      <c r="C140" s="27" t="s">
        <v>2578</v>
      </c>
      <c r="D140" s="369" t="s">
        <v>2584</v>
      </c>
      <c r="E140" s="16">
        <v>36397</v>
      </c>
      <c r="F140" s="17" t="s">
        <v>17</v>
      </c>
      <c r="G140" s="17">
        <v>9958379387</v>
      </c>
      <c r="H140" s="14" t="s">
        <v>164</v>
      </c>
      <c r="I140" s="18"/>
      <c r="J140" s="434"/>
    </row>
    <row r="141" spans="1:10" s="7" customFormat="1" ht="35" customHeight="1">
      <c r="A141" s="501">
        <v>8</v>
      </c>
      <c r="B141" s="27" t="s">
        <v>208</v>
      </c>
      <c r="C141" s="27" t="s">
        <v>2607</v>
      </c>
      <c r="D141" s="369" t="s">
        <v>2584</v>
      </c>
      <c r="E141" s="16">
        <v>23831</v>
      </c>
      <c r="F141" s="17" t="s">
        <v>17</v>
      </c>
      <c r="G141" s="17">
        <v>9810082216</v>
      </c>
      <c r="H141" s="14"/>
      <c r="I141" s="18"/>
      <c r="J141" s="434"/>
    </row>
    <row r="142" spans="1:10" s="338" customFormat="1" ht="35" customHeight="1">
      <c r="A142" s="501">
        <v>9</v>
      </c>
      <c r="B142" s="27" t="s">
        <v>209</v>
      </c>
      <c r="C142" s="367" t="s">
        <v>2603</v>
      </c>
      <c r="D142" s="379" t="s">
        <v>2584</v>
      </c>
      <c r="E142" s="380">
        <v>29715</v>
      </c>
      <c r="F142" s="381" t="s">
        <v>13</v>
      </c>
      <c r="G142" s="381">
        <v>9717197070</v>
      </c>
      <c r="H142" s="367"/>
      <c r="I142" s="384"/>
      <c r="J142" s="471"/>
    </row>
    <row r="143" spans="1:10" s="338" customFormat="1" ht="35" customHeight="1">
      <c r="A143" s="501">
        <v>10</v>
      </c>
      <c r="B143" s="27" t="s">
        <v>210</v>
      </c>
      <c r="C143" s="367" t="s">
        <v>2604</v>
      </c>
      <c r="D143" s="379" t="s">
        <v>2584</v>
      </c>
      <c r="E143" s="380">
        <v>47267</v>
      </c>
      <c r="F143" s="381" t="s">
        <v>13</v>
      </c>
      <c r="G143" s="381">
        <v>9818064495</v>
      </c>
      <c r="H143" s="367" t="s">
        <v>70</v>
      </c>
      <c r="I143" s="384"/>
      <c r="J143" s="471"/>
    </row>
    <row r="144" spans="1:10" s="7" customFormat="1" ht="35" customHeight="1">
      <c r="A144" s="501">
        <v>11</v>
      </c>
      <c r="B144" s="27" t="s">
        <v>179</v>
      </c>
      <c r="C144" s="27" t="s">
        <v>2637</v>
      </c>
      <c r="D144" s="369" t="s">
        <v>2584</v>
      </c>
      <c r="E144" s="16">
        <v>16784</v>
      </c>
      <c r="F144" s="17" t="s">
        <v>17</v>
      </c>
      <c r="G144" s="17">
        <v>8800207188</v>
      </c>
      <c r="H144" s="14"/>
      <c r="I144" s="18"/>
      <c r="J144" s="434"/>
    </row>
    <row r="145" spans="1:10" s="338" customFormat="1" ht="35" customHeight="1">
      <c r="A145" s="501">
        <v>12</v>
      </c>
      <c r="B145" s="27" t="s">
        <v>211</v>
      </c>
      <c r="C145" s="367" t="s">
        <v>2605</v>
      </c>
      <c r="D145" s="379" t="s">
        <v>2606</v>
      </c>
      <c r="E145" s="380">
        <v>20913</v>
      </c>
      <c r="F145" s="381" t="s">
        <v>17</v>
      </c>
      <c r="G145" s="381">
        <v>9899660163</v>
      </c>
      <c r="H145" s="367"/>
      <c r="I145" s="384"/>
      <c r="J145" s="471"/>
    </row>
    <row r="146" spans="1:10" s="338" customFormat="1" ht="35" customHeight="1">
      <c r="A146" s="501">
        <v>13</v>
      </c>
      <c r="B146" s="27" t="s">
        <v>212</v>
      </c>
      <c r="C146" s="367" t="s">
        <v>2638</v>
      </c>
      <c r="D146" s="379" t="s">
        <v>2574</v>
      </c>
      <c r="E146" s="380">
        <v>49446</v>
      </c>
      <c r="F146" s="381" t="s">
        <v>17</v>
      </c>
      <c r="G146" s="381">
        <v>9891248380</v>
      </c>
      <c r="H146" s="367"/>
      <c r="I146" s="384"/>
      <c r="J146" s="471"/>
    </row>
    <row r="147" spans="1:10" s="338" customFormat="1" ht="35" customHeight="1">
      <c r="A147" s="501">
        <v>14</v>
      </c>
      <c r="B147" s="27" t="s">
        <v>2609</v>
      </c>
      <c r="C147" s="367" t="s">
        <v>2608</v>
      </c>
      <c r="D147" s="379" t="s">
        <v>2546</v>
      </c>
      <c r="E147" s="380">
        <v>66292</v>
      </c>
      <c r="F147" s="381" t="s">
        <v>69</v>
      </c>
      <c r="G147" s="381">
        <v>8860628638</v>
      </c>
      <c r="H147" s="367"/>
      <c r="I147" s="384"/>
      <c r="J147" s="471"/>
    </row>
    <row r="148" spans="1:10" s="7" customFormat="1" ht="35" customHeight="1">
      <c r="A148" s="501">
        <v>15</v>
      </c>
      <c r="B148" s="27" t="s">
        <v>2479</v>
      </c>
      <c r="C148" s="27" t="s">
        <v>2596</v>
      </c>
      <c r="D148" s="369" t="s">
        <v>2597</v>
      </c>
      <c r="E148" s="16">
        <v>32816</v>
      </c>
      <c r="F148" s="17" t="s">
        <v>17</v>
      </c>
      <c r="G148" s="17">
        <v>9312893822</v>
      </c>
      <c r="H148" s="27" t="s">
        <v>36</v>
      </c>
      <c r="I148" s="18"/>
      <c r="J148" s="434"/>
    </row>
    <row r="149" spans="1:10" s="7" customFormat="1" ht="35" customHeight="1">
      <c r="A149" s="501">
        <v>16</v>
      </c>
      <c r="B149" s="27" t="s">
        <v>2658</v>
      </c>
      <c r="C149" s="27" t="s">
        <v>2657</v>
      </c>
      <c r="D149" s="369" t="s">
        <v>2597</v>
      </c>
      <c r="E149" s="16">
        <v>11552</v>
      </c>
      <c r="F149" s="17" t="s">
        <v>219</v>
      </c>
      <c r="G149" s="17">
        <v>9891048245</v>
      </c>
      <c r="H149" s="27"/>
      <c r="I149" s="18"/>
      <c r="J149" s="434"/>
    </row>
    <row r="150" spans="1:10" s="7" customFormat="1" ht="35" customHeight="1">
      <c r="A150" s="501">
        <v>17</v>
      </c>
      <c r="B150" s="27" t="s">
        <v>220</v>
      </c>
      <c r="C150" s="27" t="s">
        <v>2586</v>
      </c>
      <c r="D150" s="369" t="s">
        <v>2587</v>
      </c>
      <c r="E150" s="16">
        <v>9439</v>
      </c>
      <c r="F150" s="17" t="s">
        <v>13</v>
      </c>
      <c r="G150" s="1092" t="s">
        <v>221</v>
      </c>
      <c r="H150" s="1078"/>
      <c r="I150" s="1086"/>
      <c r="J150" s="434"/>
    </row>
    <row r="151" spans="1:10" s="7" customFormat="1" ht="35" customHeight="1">
      <c r="A151" s="501">
        <v>18</v>
      </c>
      <c r="B151" s="27" t="s">
        <v>222</v>
      </c>
      <c r="C151" s="27" t="s">
        <v>2585</v>
      </c>
      <c r="D151" s="369" t="s">
        <v>2518</v>
      </c>
      <c r="E151" s="16">
        <v>41532</v>
      </c>
      <c r="F151" s="17" t="s">
        <v>223</v>
      </c>
      <c r="G151" s="1092"/>
      <c r="H151" s="1079"/>
      <c r="I151" s="1086"/>
      <c r="J151" s="434"/>
    </row>
    <row r="152" spans="1:10" s="7" customFormat="1" ht="35" customHeight="1">
      <c r="A152" s="501">
        <v>19</v>
      </c>
      <c r="B152" s="27" t="s">
        <v>224</v>
      </c>
      <c r="C152" s="27" t="s">
        <v>2517</v>
      </c>
      <c r="D152" s="369" t="s">
        <v>2518</v>
      </c>
      <c r="E152" s="16">
        <v>40959</v>
      </c>
      <c r="F152" s="17" t="s">
        <v>2519</v>
      </c>
      <c r="G152" s="1092"/>
      <c r="H152" s="1080"/>
      <c r="I152" s="1086"/>
      <c r="J152" s="434"/>
    </row>
    <row r="153" spans="1:10" s="7" customFormat="1" ht="35" customHeight="1">
      <c r="A153" s="501">
        <v>20</v>
      </c>
      <c r="B153" s="27" t="s">
        <v>225</v>
      </c>
      <c r="C153" s="27" t="s">
        <v>2656</v>
      </c>
      <c r="D153" s="369" t="s">
        <v>2518</v>
      </c>
      <c r="E153" s="16">
        <v>49446</v>
      </c>
      <c r="F153" s="17" t="s">
        <v>17</v>
      </c>
      <c r="G153" s="17">
        <v>9810385931</v>
      </c>
      <c r="H153" s="27"/>
      <c r="I153" s="18"/>
      <c r="J153" s="434"/>
    </row>
    <row r="154" spans="1:10" s="7" customFormat="1" ht="35" customHeight="1" thickBot="1">
      <c r="A154" s="481">
        <v>21</v>
      </c>
      <c r="B154" s="368" t="s">
        <v>226</v>
      </c>
      <c r="C154" s="368" t="s">
        <v>2659</v>
      </c>
      <c r="D154" s="523" t="s">
        <v>2660</v>
      </c>
      <c r="E154" s="371">
        <v>21073</v>
      </c>
      <c r="F154" s="364" t="s">
        <v>13</v>
      </c>
      <c r="G154" s="364">
        <v>9818248882</v>
      </c>
      <c r="H154" s="368" t="s">
        <v>228</v>
      </c>
      <c r="I154" s="363"/>
      <c r="J154" s="434"/>
    </row>
    <row r="155" spans="1:10" s="338" customFormat="1" ht="35" customHeight="1" thickBot="1">
      <c r="A155" s="356"/>
    </row>
    <row r="156" spans="1:10" s="340" customFormat="1" ht="35.15" customHeight="1" thickBot="1">
      <c r="A156" s="585"/>
      <c r="B156" s="532"/>
      <c r="C156" s="402"/>
      <c r="D156" s="404" t="s">
        <v>229</v>
      </c>
      <c r="E156" s="402"/>
      <c r="F156" s="402"/>
      <c r="G156" s="402"/>
      <c r="H156" s="402"/>
      <c r="I156" s="403"/>
      <c r="J156" s="400">
        <v>8</v>
      </c>
    </row>
    <row r="157" spans="1:10" s="7" customFormat="1" ht="42" customHeight="1">
      <c r="A157" s="501">
        <v>1</v>
      </c>
      <c r="B157" s="27" t="s">
        <v>202</v>
      </c>
      <c r="C157" s="502" t="s">
        <v>2690</v>
      </c>
      <c r="D157" s="503" t="s">
        <v>2675</v>
      </c>
      <c r="E157" s="32">
        <v>20146</v>
      </c>
      <c r="F157" s="33" t="s">
        <v>76</v>
      </c>
      <c r="G157" s="39">
        <v>9953562027</v>
      </c>
      <c r="H157" s="366"/>
      <c r="I157" s="18"/>
      <c r="J157" s="434"/>
    </row>
    <row r="158" spans="1:10" s="7" customFormat="1" ht="42" customHeight="1">
      <c r="A158" s="501">
        <v>2</v>
      </c>
      <c r="B158" s="27" t="s">
        <v>203</v>
      </c>
      <c r="C158" s="502" t="s">
        <v>2692</v>
      </c>
      <c r="D158" s="503" t="s">
        <v>2691</v>
      </c>
      <c r="E158" s="32">
        <v>23832</v>
      </c>
      <c r="F158" s="33" t="s">
        <v>17</v>
      </c>
      <c r="G158" s="39">
        <v>8800207188</v>
      </c>
      <c r="H158" s="366"/>
      <c r="I158" s="18"/>
      <c r="J158" s="434"/>
    </row>
    <row r="159" spans="1:10" s="7" customFormat="1" ht="42" customHeight="1">
      <c r="A159" s="501">
        <v>3</v>
      </c>
      <c r="B159" s="27" t="s">
        <v>237</v>
      </c>
      <c r="C159" s="502" t="s">
        <v>2693</v>
      </c>
      <c r="D159" s="503" t="s">
        <v>2694</v>
      </c>
      <c r="E159" s="32">
        <v>8025</v>
      </c>
      <c r="F159" s="33" t="s">
        <v>13</v>
      </c>
      <c r="G159" s="39">
        <v>7042257403</v>
      </c>
      <c r="H159" s="366"/>
      <c r="I159" s="18"/>
      <c r="J159" s="434"/>
    </row>
    <row r="160" spans="1:10" s="7" customFormat="1" ht="42" customHeight="1">
      <c r="A160" s="501">
        <v>4</v>
      </c>
      <c r="B160" s="27" t="s">
        <v>238</v>
      </c>
      <c r="C160" s="502" t="s">
        <v>2700</v>
      </c>
      <c r="D160" s="503" t="s">
        <v>2669</v>
      </c>
      <c r="E160" s="32">
        <v>18068</v>
      </c>
      <c r="F160" s="33" t="s">
        <v>17</v>
      </c>
      <c r="G160" s="39">
        <v>9999971668</v>
      </c>
      <c r="H160" s="366"/>
      <c r="I160" s="18"/>
      <c r="J160" s="434"/>
    </row>
    <row r="161" spans="1:10" s="7" customFormat="1" ht="42" customHeight="1">
      <c r="A161" s="501">
        <v>5</v>
      </c>
      <c r="B161" s="27" t="s">
        <v>239</v>
      </c>
      <c r="C161" s="502" t="s">
        <v>2661</v>
      </c>
      <c r="D161" s="503" t="s">
        <v>2662</v>
      </c>
      <c r="E161" s="32">
        <v>35323</v>
      </c>
      <c r="F161" s="33" t="s">
        <v>17</v>
      </c>
      <c r="G161" s="39">
        <v>8375997799</v>
      </c>
      <c r="H161" s="366">
        <v>9582111999</v>
      </c>
      <c r="I161" s="18"/>
      <c r="J161" s="434"/>
    </row>
    <row r="162" spans="1:10" s="7" customFormat="1" ht="42" customHeight="1">
      <c r="A162" s="501">
        <v>6</v>
      </c>
      <c r="B162" s="27" t="s">
        <v>213</v>
      </c>
      <c r="C162" s="502" t="s">
        <v>2724</v>
      </c>
      <c r="D162" s="503" t="s">
        <v>2662</v>
      </c>
      <c r="E162" s="32">
        <v>7891</v>
      </c>
      <c r="F162" s="33" t="s">
        <v>17</v>
      </c>
      <c r="G162" s="39">
        <v>9873810192</v>
      </c>
      <c r="H162" s="366"/>
      <c r="I162" s="18"/>
      <c r="J162" s="434"/>
    </row>
    <row r="163" spans="1:10" s="7" customFormat="1" ht="42" customHeight="1">
      <c r="A163" s="501">
        <v>7</v>
      </c>
      <c r="B163" s="27" t="s">
        <v>243</v>
      </c>
      <c r="C163" s="502" t="s">
        <v>2629</v>
      </c>
      <c r="D163" s="503" t="s">
        <v>2630</v>
      </c>
      <c r="E163" s="32">
        <v>46018</v>
      </c>
      <c r="F163" s="33" t="s">
        <v>13</v>
      </c>
      <c r="G163" s="39">
        <v>9313703696</v>
      </c>
      <c r="H163" s="366" t="s">
        <v>2832</v>
      </c>
      <c r="I163" s="18"/>
      <c r="J163" s="434"/>
    </row>
    <row r="164" spans="1:10" s="7" customFormat="1" ht="42" customHeight="1">
      <c r="A164" s="501">
        <v>8</v>
      </c>
      <c r="B164" s="27" t="s">
        <v>245</v>
      </c>
      <c r="C164" s="502" t="s">
        <v>2695</v>
      </c>
      <c r="D164" s="503" t="s">
        <v>717</v>
      </c>
      <c r="E164" s="32">
        <v>21782</v>
      </c>
      <c r="F164" s="33" t="s">
        <v>69</v>
      </c>
      <c r="G164" s="39">
        <v>9953277272</v>
      </c>
      <c r="H164" s="366"/>
      <c r="I164" s="18"/>
      <c r="J164" s="434"/>
    </row>
    <row r="165" spans="1:10" s="7" customFormat="1" ht="42" customHeight="1">
      <c r="A165" s="501">
        <v>9</v>
      </c>
      <c r="B165" s="27" t="s">
        <v>247</v>
      </c>
      <c r="C165" s="502" t="s">
        <v>2696</v>
      </c>
      <c r="D165" s="503" t="s">
        <v>2697</v>
      </c>
      <c r="E165" s="32">
        <v>47267</v>
      </c>
      <c r="F165" s="33" t="s">
        <v>13</v>
      </c>
      <c r="G165" s="39">
        <v>9810449439</v>
      </c>
      <c r="H165" s="366"/>
      <c r="I165" s="18"/>
      <c r="J165" s="434"/>
    </row>
    <row r="166" spans="1:10" s="7" customFormat="1" ht="42" customHeight="1">
      <c r="A166" s="501">
        <v>10</v>
      </c>
      <c r="B166" s="27" t="s">
        <v>249</v>
      </c>
      <c r="C166" s="27" t="s">
        <v>2738</v>
      </c>
      <c r="D166" s="369" t="s">
        <v>2729</v>
      </c>
      <c r="E166" s="16">
        <v>34557</v>
      </c>
      <c r="F166" s="17" t="s">
        <v>69</v>
      </c>
      <c r="G166" s="1082">
        <v>9999246966</v>
      </c>
      <c r="H166" s="1076" t="s">
        <v>2773</v>
      </c>
      <c r="I166" s="1074"/>
      <c r="J166" s="434"/>
    </row>
    <row r="167" spans="1:10" s="7" customFormat="1" ht="42" customHeight="1">
      <c r="A167" s="501">
        <v>11</v>
      </c>
      <c r="B167" s="27" t="s">
        <v>251</v>
      </c>
      <c r="C167" s="27" t="s">
        <v>2728</v>
      </c>
      <c r="D167" s="369" t="s">
        <v>2684</v>
      </c>
      <c r="E167" s="16">
        <v>31524</v>
      </c>
      <c r="F167" s="17" t="s">
        <v>13</v>
      </c>
      <c r="G167" s="1083"/>
      <c r="H167" s="1077"/>
      <c r="I167" s="1075"/>
      <c r="J167" s="434"/>
    </row>
    <row r="168" spans="1:10" s="7" customFormat="1" ht="42" customHeight="1">
      <c r="A168" s="501">
        <v>12</v>
      </c>
      <c r="B168" s="27" t="s">
        <v>255</v>
      </c>
      <c r="C168" s="27" t="s">
        <v>2756</v>
      </c>
      <c r="D168" s="369" t="s">
        <v>2757</v>
      </c>
      <c r="E168" s="16">
        <v>23600</v>
      </c>
      <c r="F168" s="17" t="s">
        <v>29</v>
      </c>
      <c r="G168" s="17">
        <v>9990502320</v>
      </c>
      <c r="H168" s="360"/>
      <c r="I168" s="18"/>
      <c r="J168" s="400"/>
    </row>
    <row r="169" spans="1:10" s="7" customFormat="1" ht="42" customHeight="1">
      <c r="A169" s="501">
        <v>13</v>
      </c>
      <c r="B169" s="27" t="s">
        <v>257</v>
      </c>
      <c r="C169" s="27" t="s">
        <v>258</v>
      </c>
      <c r="D169" s="369" t="s">
        <v>259</v>
      </c>
      <c r="E169" s="16">
        <v>217991</v>
      </c>
      <c r="F169" s="17" t="s">
        <v>13</v>
      </c>
      <c r="G169" s="17">
        <v>9711985769</v>
      </c>
      <c r="H169" s="360"/>
      <c r="I169" s="18"/>
      <c r="J169" s="400"/>
    </row>
    <row r="170" spans="1:10" s="7" customFormat="1" ht="42" customHeight="1">
      <c r="A170" s="501">
        <v>14</v>
      </c>
      <c r="B170" s="27" t="s">
        <v>260</v>
      </c>
      <c r="C170" s="27" t="s">
        <v>2758</v>
      </c>
      <c r="D170" s="369" t="s">
        <v>2684</v>
      </c>
      <c r="E170" s="16">
        <v>34470</v>
      </c>
      <c r="F170" s="17" t="s">
        <v>13</v>
      </c>
      <c r="G170" s="17">
        <v>9899552927</v>
      </c>
      <c r="H170" s="360"/>
      <c r="I170" s="18"/>
      <c r="J170" s="400"/>
    </row>
    <row r="171" spans="1:10" s="7" customFormat="1" ht="42" customHeight="1" thickBot="1">
      <c r="A171" s="501">
        <v>15</v>
      </c>
      <c r="B171" s="27" t="s">
        <v>261</v>
      </c>
      <c r="C171" s="27" t="s">
        <v>2759</v>
      </c>
      <c r="D171" s="369" t="s">
        <v>2684</v>
      </c>
      <c r="E171" s="16">
        <v>55347</v>
      </c>
      <c r="F171" s="17" t="s">
        <v>13</v>
      </c>
      <c r="G171" s="35" t="s">
        <v>2523</v>
      </c>
      <c r="H171" s="360"/>
      <c r="I171" s="18"/>
      <c r="J171" s="400"/>
    </row>
    <row r="172" spans="1:10" s="7" customFormat="1" ht="30" customHeight="1">
      <c r="A172" s="355"/>
      <c r="B172" s="372"/>
      <c r="C172" s="372"/>
      <c r="D172" s="373"/>
      <c r="E172" s="254"/>
      <c r="F172" s="252"/>
      <c r="G172" s="255"/>
      <c r="H172" s="256"/>
      <c r="I172" s="372"/>
      <c r="J172" s="400"/>
    </row>
    <row r="173" spans="1:10" s="7" customFormat="1" ht="30" customHeight="1">
      <c r="A173" s="356"/>
      <c r="D173" s="374"/>
      <c r="E173" s="238"/>
      <c r="F173" s="8"/>
      <c r="G173" s="251"/>
      <c r="H173" s="236"/>
      <c r="J173" s="400"/>
    </row>
    <row r="174" spans="1:10" s="7" customFormat="1" ht="30" customHeight="1" thickBot="1">
      <c r="A174" s="356"/>
      <c r="D174" s="374"/>
      <c r="E174" s="238"/>
      <c r="F174" s="8"/>
      <c r="G174" s="251"/>
      <c r="H174" s="236"/>
      <c r="J174" s="400"/>
    </row>
    <row r="175" spans="1:10" s="340" customFormat="1" ht="35" customHeight="1" thickBot="1">
      <c r="A175" s="585"/>
      <c r="B175" s="402"/>
      <c r="C175" s="402"/>
      <c r="D175" s="405" t="s">
        <v>263</v>
      </c>
      <c r="E175" s="402"/>
      <c r="F175" s="402"/>
      <c r="G175" s="402"/>
      <c r="H175" s="402"/>
      <c r="I175" s="403"/>
      <c r="J175" s="400">
        <v>9</v>
      </c>
    </row>
    <row r="176" spans="1:10" s="338" customFormat="1" ht="40" customHeight="1">
      <c r="A176" s="501">
        <v>1</v>
      </c>
      <c r="B176" s="27" t="s">
        <v>265</v>
      </c>
      <c r="C176" s="27" t="s">
        <v>2827</v>
      </c>
      <c r="D176" s="369" t="s">
        <v>2821</v>
      </c>
      <c r="E176" s="16">
        <v>9229</v>
      </c>
      <c r="F176" s="35" t="s">
        <v>13</v>
      </c>
      <c r="G176" s="383">
        <v>9891418152</v>
      </c>
      <c r="H176" s="27" t="s">
        <v>2773</v>
      </c>
      <c r="I176" s="18"/>
      <c r="J176" s="400"/>
    </row>
    <row r="177" spans="1:10" s="338" customFormat="1" ht="40" customHeight="1">
      <c r="A177" s="501">
        <v>2</v>
      </c>
      <c r="B177" s="27" t="s">
        <v>266</v>
      </c>
      <c r="C177" s="27" t="s">
        <v>2787</v>
      </c>
      <c r="D177" s="369" t="s">
        <v>2786</v>
      </c>
      <c r="E177" s="16">
        <v>27218</v>
      </c>
      <c r="F177" s="35" t="s">
        <v>267</v>
      </c>
      <c r="G177" s="383">
        <v>9811277566</v>
      </c>
      <c r="H177" s="27"/>
      <c r="I177" s="18"/>
      <c r="J177" s="400"/>
    </row>
    <row r="178" spans="1:10" s="338" customFormat="1" ht="40" customHeight="1">
      <c r="A178" s="501">
        <v>3</v>
      </c>
      <c r="B178" s="27" t="s">
        <v>271</v>
      </c>
      <c r="C178" s="27" t="s">
        <v>2856</v>
      </c>
      <c r="D178" s="369" t="s">
        <v>2857</v>
      </c>
      <c r="E178" s="16">
        <v>15676</v>
      </c>
      <c r="F178" s="35" t="s">
        <v>17</v>
      </c>
      <c r="G178" s="383">
        <v>9599944552</v>
      </c>
      <c r="H178" s="27" t="s">
        <v>272</v>
      </c>
      <c r="I178" s="18"/>
      <c r="J178" s="400"/>
    </row>
    <row r="179" spans="1:10" s="338" customFormat="1" ht="40" customHeight="1">
      <c r="A179" s="501">
        <v>4</v>
      </c>
      <c r="B179" s="27" t="s">
        <v>273</v>
      </c>
      <c r="C179" s="27" t="s">
        <v>274</v>
      </c>
      <c r="D179" s="369" t="s">
        <v>275</v>
      </c>
      <c r="E179" s="16">
        <v>26642</v>
      </c>
      <c r="F179" s="17" t="s">
        <v>69</v>
      </c>
      <c r="G179" s="1084">
        <v>9811953861</v>
      </c>
      <c r="H179" s="27" t="s">
        <v>2772</v>
      </c>
      <c r="I179" s="18"/>
      <c r="J179" s="400"/>
    </row>
    <row r="180" spans="1:10" s="338" customFormat="1" ht="40" customHeight="1">
      <c r="A180" s="501">
        <v>5</v>
      </c>
      <c r="B180" s="27" t="s">
        <v>276</v>
      </c>
      <c r="C180" s="27" t="s">
        <v>277</v>
      </c>
      <c r="D180" s="369" t="s">
        <v>278</v>
      </c>
      <c r="E180" s="16">
        <v>99960</v>
      </c>
      <c r="F180" s="17" t="s">
        <v>69</v>
      </c>
      <c r="G180" s="1085"/>
      <c r="H180" s="27" t="s">
        <v>2772</v>
      </c>
      <c r="I180" s="18"/>
      <c r="J180" s="400"/>
    </row>
    <row r="181" spans="1:10" s="7" customFormat="1" ht="40" customHeight="1">
      <c r="A181" s="501">
        <v>6</v>
      </c>
      <c r="B181" s="27" t="s">
        <v>279</v>
      </c>
      <c r="C181" s="27" t="s">
        <v>2825</v>
      </c>
      <c r="D181" s="369" t="s">
        <v>2826</v>
      </c>
      <c r="E181" s="16">
        <v>27223</v>
      </c>
      <c r="F181" s="17" t="s">
        <v>21</v>
      </c>
      <c r="G181" s="17">
        <v>8586943486</v>
      </c>
      <c r="H181" s="27" t="s">
        <v>44</v>
      </c>
      <c r="I181" s="18"/>
      <c r="J181" s="434"/>
    </row>
    <row r="182" spans="1:10" s="7" customFormat="1" ht="40" customHeight="1">
      <c r="A182" s="501">
        <v>7</v>
      </c>
      <c r="B182" s="27" t="s">
        <v>280</v>
      </c>
      <c r="C182" s="27" t="s">
        <v>2929</v>
      </c>
      <c r="D182" s="369" t="s">
        <v>2865</v>
      </c>
      <c r="E182" s="16">
        <v>12848</v>
      </c>
      <c r="F182" s="17" t="s">
        <v>13</v>
      </c>
      <c r="G182" s="17">
        <v>9871615189</v>
      </c>
      <c r="H182" s="27" t="s">
        <v>272</v>
      </c>
      <c r="I182" s="18"/>
      <c r="J182" s="434"/>
    </row>
    <row r="183" spans="1:10" s="7" customFormat="1" ht="40" customHeight="1">
      <c r="A183" s="501">
        <v>8</v>
      </c>
      <c r="B183" s="27" t="s">
        <v>283</v>
      </c>
      <c r="C183" s="27" t="s">
        <v>2779</v>
      </c>
      <c r="D183" s="369" t="s">
        <v>2760</v>
      </c>
      <c r="E183" s="16">
        <v>15353</v>
      </c>
      <c r="F183" s="17" t="s">
        <v>13</v>
      </c>
      <c r="G183" s="17">
        <v>8287703940</v>
      </c>
      <c r="H183" s="360"/>
      <c r="I183" s="18"/>
      <c r="J183" s="400"/>
    </row>
    <row r="184" spans="1:10" s="7" customFormat="1" ht="40" customHeight="1">
      <c r="A184" s="501">
        <v>9</v>
      </c>
      <c r="B184" s="27" t="s">
        <v>282</v>
      </c>
      <c r="C184" s="27" t="s">
        <v>2930</v>
      </c>
      <c r="D184" s="369" t="s">
        <v>2931</v>
      </c>
      <c r="E184" s="16">
        <v>37703</v>
      </c>
      <c r="F184" s="17" t="s">
        <v>13</v>
      </c>
      <c r="G184" s="17">
        <v>9891928667</v>
      </c>
      <c r="H184" s="360" t="s">
        <v>2773</v>
      </c>
      <c r="I184" s="18"/>
      <c r="J184" s="400"/>
    </row>
    <row r="185" spans="1:10" s="7" customFormat="1" ht="40" customHeight="1">
      <c r="A185" s="501">
        <v>10</v>
      </c>
      <c r="B185" s="27" t="s">
        <v>264</v>
      </c>
      <c r="C185" s="27" t="s">
        <v>2928</v>
      </c>
      <c r="D185" s="369" t="s">
        <v>2885</v>
      </c>
      <c r="E185" s="16">
        <v>4028</v>
      </c>
      <c r="F185" s="17" t="s">
        <v>84</v>
      </c>
      <c r="G185" s="17">
        <v>9899952456</v>
      </c>
      <c r="H185" s="360"/>
      <c r="I185" s="18"/>
      <c r="J185" s="400"/>
    </row>
    <row r="186" spans="1:10" s="7" customFormat="1" ht="40" customHeight="1">
      <c r="A186" s="501">
        <v>11</v>
      </c>
      <c r="B186" s="27" t="s">
        <v>286</v>
      </c>
      <c r="C186" s="27" t="s">
        <v>2932</v>
      </c>
      <c r="D186" s="369" t="s">
        <v>278</v>
      </c>
      <c r="E186" s="16">
        <v>14224</v>
      </c>
      <c r="F186" s="17" t="s">
        <v>17</v>
      </c>
      <c r="G186" s="17">
        <v>9811464039</v>
      </c>
      <c r="H186" s="27" t="s">
        <v>285</v>
      </c>
      <c r="I186" s="18"/>
      <c r="J186" s="434"/>
    </row>
    <row r="187" spans="1:10" s="7" customFormat="1" ht="40" customHeight="1" thickBot="1">
      <c r="A187" s="481">
        <v>12</v>
      </c>
      <c r="B187" s="368" t="s">
        <v>284</v>
      </c>
      <c r="C187" s="368" t="s">
        <v>2933</v>
      </c>
      <c r="D187" s="523" t="s">
        <v>278</v>
      </c>
      <c r="E187" s="371">
        <v>41203</v>
      </c>
      <c r="F187" s="364" t="s">
        <v>13</v>
      </c>
      <c r="G187" s="364">
        <v>9650324933</v>
      </c>
      <c r="H187" s="368" t="s">
        <v>285</v>
      </c>
      <c r="I187" s="363"/>
      <c r="J187" s="434"/>
    </row>
    <row r="188" spans="1:10" ht="30" customHeight="1"/>
    <row r="189" spans="1:10" ht="30" customHeight="1"/>
    <row r="190" spans="1:10" ht="30" customHeight="1"/>
    <row r="191" spans="1:10" ht="30" customHeight="1"/>
    <row r="192" spans="1:10" ht="30" customHeight="1"/>
    <row r="193" spans="1:10" s="4" customFormat="1" ht="30" customHeight="1">
      <c r="A193" s="356"/>
      <c r="J193" s="400"/>
    </row>
    <row r="194" spans="1:10" s="4" customFormat="1" ht="30" customHeight="1">
      <c r="A194" s="356"/>
      <c r="J194" s="400"/>
    </row>
    <row r="195" spans="1:10" s="4" customFormat="1" ht="30" customHeight="1">
      <c r="A195" s="356"/>
      <c r="J195" s="400"/>
    </row>
    <row r="196" spans="1:10" s="4" customFormat="1" ht="30" customHeight="1" thickBot="1">
      <c r="A196" s="356"/>
      <c r="J196" s="400"/>
    </row>
    <row r="197" spans="1:10" s="340" customFormat="1" ht="35.15" customHeight="1" thickBot="1">
      <c r="A197" s="585"/>
      <c r="B197" s="402"/>
      <c r="C197" s="402"/>
      <c r="D197" s="404" t="s">
        <v>291</v>
      </c>
      <c r="E197" s="402"/>
      <c r="F197" s="402"/>
      <c r="G197" s="402"/>
      <c r="H197" s="402"/>
      <c r="I197" s="403"/>
      <c r="J197" s="400">
        <v>10</v>
      </c>
    </row>
    <row r="198" spans="1:10" s="7" customFormat="1" ht="50" customHeight="1">
      <c r="A198" s="501">
        <v>1</v>
      </c>
      <c r="B198" s="578" t="s">
        <v>292</v>
      </c>
      <c r="C198" s="345" t="s">
        <v>2924</v>
      </c>
      <c r="D198" s="346" t="s">
        <v>2925</v>
      </c>
      <c r="E198" s="16">
        <v>27810</v>
      </c>
      <c r="F198" s="200" t="s">
        <v>17</v>
      </c>
      <c r="G198" s="17">
        <v>9818612934</v>
      </c>
      <c r="H198" s="360" t="s">
        <v>293</v>
      </c>
      <c r="I198" s="18"/>
      <c r="J198" s="434"/>
    </row>
    <row r="199" spans="1:10" s="7" customFormat="1" ht="50" customHeight="1">
      <c r="A199" s="501">
        <v>2</v>
      </c>
      <c r="B199" s="588" t="s">
        <v>296</v>
      </c>
      <c r="C199" s="345" t="s">
        <v>2986</v>
      </c>
      <c r="D199" s="346" t="s">
        <v>2919</v>
      </c>
      <c r="E199" s="16">
        <v>41904</v>
      </c>
      <c r="F199" s="200" t="s">
        <v>17</v>
      </c>
      <c r="G199" s="17">
        <v>9711277370</v>
      </c>
      <c r="H199" s="360"/>
      <c r="I199" s="18"/>
      <c r="J199" s="434"/>
    </row>
    <row r="200" spans="1:10" s="7" customFormat="1" ht="50" customHeight="1">
      <c r="A200" s="501">
        <v>3</v>
      </c>
      <c r="B200" s="588" t="s">
        <v>294</v>
      </c>
      <c r="C200" s="345" t="s">
        <v>2987</v>
      </c>
      <c r="D200" s="346" t="s">
        <v>2927</v>
      </c>
      <c r="E200" s="16">
        <v>51750</v>
      </c>
      <c r="F200" s="200" t="s">
        <v>17</v>
      </c>
      <c r="G200" s="383" t="s">
        <v>295</v>
      </c>
      <c r="H200" s="258"/>
      <c r="I200" s="586"/>
      <c r="J200" s="434"/>
    </row>
    <row r="201" spans="1:10" s="7" customFormat="1" ht="50" customHeight="1">
      <c r="A201" s="501">
        <v>4</v>
      </c>
      <c r="B201" s="578" t="s">
        <v>298</v>
      </c>
      <c r="C201" s="345" t="s">
        <v>2926</v>
      </c>
      <c r="D201" s="346" t="s">
        <v>2927</v>
      </c>
      <c r="E201" s="16">
        <v>13789</v>
      </c>
      <c r="F201" s="200" t="s">
        <v>17</v>
      </c>
      <c r="G201" s="17">
        <v>8826859860</v>
      </c>
      <c r="H201" s="360" t="s">
        <v>2773</v>
      </c>
      <c r="I201" s="18"/>
      <c r="J201" s="434"/>
    </row>
    <row r="202" spans="1:10" s="7" customFormat="1" ht="50" customHeight="1">
      <c r="A202" s="501">
        <v>5</v>
      </c>
      <c r="B202" s="578" t="s">
        <v>302</v>
      </c>
      <c r="C202" s="345" t="s">
        <v>2985</v>
      </c>
      <c r="D202" s="346" t="s">
        <v>2813</v>
      </c>
      <c r="E202" s="16">
        <v>20986</v>
      </c>
      <c r="F202" s="309" t="s">
        <v>27</v>
      </c>
      <c r="G202" s="17">
        <v>9650386014</v>
      </c>
      <c r="H202" s="360" t="s">
        <v>303</v>
      </c>
      <c r="I202" s="18"/>
      <c r="J202" s="434"/>
    </row>
    <row r="203" spans="1:10" s="7" customFormat="1" ht="50" customHeight="1">
      <c r="A203" s="501">
        <v>6</v>
      </c>
      <c r="B203" s="578" t="s">
        <v>304</v>
      </c>
      <c r="C203" s="345" t="s">
        <v>2999</v>
      </c>
      <c r="D203" s="346" t="s">
        <v>787</v>
      </c>
      <c r="E203" s="16">
        <v>14224</v>
      </c>
      <c r="F203" s="309" t="s">
        <v>17</v>
      </c>
      <c r="G203" s="17">
        <v>9990044230</v>
      </c>
      <c r="H203" s="360" t="s">
        <v>2773</v>
      </c>
      <c r="I203" s="18"/>
      <c r="J203" s="434"/>
    </row>
    <row r="204" spans="1:10" s="7" customFormat="1" ht="50" customHeight="1">
      <c r="A204" s="501">
        <v>7</v>
      </c>
      <c r="B204" s="578" t="s">
        <v>305</v>
      </c>
      <c r="C204" s="345" t="s">
        <v>3037</v>
      </c>
      <c r="D204" s="346" t="s">
        <v>3038</v>
      </c>
      <c r="E204" s="16">
        <v>15312</v>
      </c>
      <c r="F204" s="200" t="s">
        <v>17</v>
      </c>
      <c r="G204" s="17">
        <v>9971243508</v>
      </c>
      <c r="H204" s="360"/>
      <c r="I204" s="18"/>
      <c r="J204" s="434"/>
    </row>
    <row r="205" spans="1:10" s="7" customFormat="1" ht="50" customHeight="1" thickBot="1">
      <c r="A205" s="501">
        <v>8</v>
      </c>
      <c r="B205" s="588" t="s">
        <v>306</v>
      </c>
      <c r="C205" s="345" t="s">
        <v>3036</v>
      </c>
      <c r="D205" s="346" t="s">
        <v>3020</v>
      </c>
      <c r="E205" s="16">
        <v>15289</v>
      </c>
      <c r="F205" s="200" t="s">
        <v>17</v>
      </c>
      <c r="G205" s="17">
        <v>9752975454</v>
      </c>
      <c r="H205" s="360"/>
      <c r="I205" s="18"/>
      <c r="J205" s="434"/>
    </row>
    <row r="206" spans="1:10" s="338" customFormat="1" ht="41.15" customHeight="1">
      <c r="A206" s="355"/>
      <c r="B206" s="370"/>
      <c r="C206" s="370"/>
      <c r="D206" s="370"/>
      <c r="E206" s="370"/>
      <c r="F206" s="370"/>
      <c r="G206" s="370"/>
      <c r="H206" s="370"/>
      <c r="I206" s="370"/>
      <c r="J206" s="400"/>
    </row>
    <row r="207" spans="1:10" s="338" customFormat="1" ht="41" customHeight="1">
      <c r="A207" s="356"/>
      <c r="J207" s="400"/>
    </row>
    <row r="208" spans="1:10" s="338" customFormat="1" ht="41.15" customHeight="1">
      <c r="A208" s="356"/>
      <c r="J208" s="400"/>
    </row>
    <row r="209" spans="1:10" s="338" customFormat="1" ht="41.15" customHeight="1">
      <c r="A209" s="356"/>
      <c r="J209" s="400"/>
    </row>
    <row r="210" spans="1:10" s="338" customFormat="1" ht="41.15" customHeight="1">
      <c r="A210" s="356"/>
      <c r="J210" s="400"/>
    </row>
    <row r="211" spans="1:10" s="338" customFormat="1" ht="41" customHeight="1">
      <c r="A211" s="356"/>
      <c r="J211" s="400"/>
    </row>
    <row r="212" spans="1:10" s="338" customFormat="1" ht="41" customHeight="1">
      <c r="A212" s="356"/>
      <c r="J212" s="400"/>
    </row>
    <row r="213" spans="1:10" s="338" customFormat="1" ht="41.15" customHeight="1" thickBot="1">
      <c r="A213" s="356"/>
      <c r="J213" s="400"/>
    </row>
    <row r="214" spans="1:10" s="340" customFormat="1" ht="35.15" customHeight="1" thickBot="1">
      <c r="A214" s="585"/>
      <c r="B214" s="402"/>
      <c r="C214" s="402"/>
      <c r="D214" s="404" t="s">
        <v>307</v>
      </c>
      <c r="E214" s="402"/>
      <c r="F214" s="402"/>
      <c r="G214" s="402"/>
      <c r="H214" s="402"/>
      <c r="I214" s="403"/>
      <c r="J214" s="400">
        <v>11</v>
      </c>
    </row>
    <row r="215" spans="1:10" s="1" customFormat="1" ht="35.15" customHeight="1">
      <c r="A215" s="501">
        <v>1</v>
      </c>
      <c r="B215" s="27" t="s">
        <v>308</v>
      </c>
      <c r="C215" s="27" t="s">
        <v>3047</v>
      </c>
      <c r="D215" s="17" t="s">
        <v>3048</v>
      </c>
      <c r="E215" s="16">
        <v>17474</v>
      </c>
      <c r="F215" s="17" t="s">
        <v>17</v>
      </c>
      <c r="G215" s="17">
        <v>9811009442</v>
      </c>
      <c r="H215" s="360" t="s">
        <v>140</v>
      </c>
      <c r="I215" s="18"/>
      <c r="J215" s="655"/>
    </row>
    <row r="216" spans="1:10" s="1" customFormat="1" ht="35.15" customHeight="1">
      <c r="A216" s="501">
        <v>2</v>
      </c>
      <c r="B216" s="27" t="s">
        <v>310</v>
      </c>
      <c r="C216" s="27" t="s">
        <v>3051</v>
      </c>
      <c r="D216" s="17" t="s">
        <v>3052</v>
      </c>
      <c r="E216" s="16">
        <v>30424</v>
      </c>
      <c r="F216" s="17" t="s">
        <v>17</v>
      </c>
      <c r="G216" s="17">
        <v>9968316120</v>
      </c>
      <c r="H216" s="360"/>
      <c r="I216" s="18"/>
      <c r="J216" s="655"/>
    </row>
    <row r="217" spans="1:10" s="1" customFormat="1" ht="35.15" customHeight="1">
      <c r="A217" s="501">
        <v>3</v>
      </c>
      <c r="B217" s="27" t="s">
        <v>313</v>
      </c>
      <c r="C217" s="27" t="s">
        <v>3168</v>
      </c>
      <c r="D217" s="17" t="s">
        <v>3169</v>
      </c>
      <c r="E217" s="16">
        <v>1875</v>
      </c>
      <c r="F217" s="17" t="s">
        <v>21</v>
      </c>
      <c r="G217" s="17">
        <v>8810435664</v>
      </c>
      <c r="H217" s="722"/>
      <c r="I217" s="723"/>
      <c r="J217" s="655"/>
    </row>
    <row r="218" spans="1:10" s="1" customFormat="1" ht="35.15" customHeight="1">
      <c r="A218" s="501">
        <v>4</v>
      </c>
      <c r="B218" s="27" t="s">
        <v>319</v>
      </c>
      <c r="C218" s="27" t="s">
        <v>3170</v>
      </c>
      <c r="D218" s="17" t="s">
        <v>3171</v>
      </c>
      <c r="E218" s="16">
        <v>27875</v>
      </c>
      <c r="F218" s="17" t="s">
        <v>17</v>
      </c>
      <c r="G218" s="17">
        <v>9953460102</v>
      </c>
      <c r="H218" s="360"/>
      <c r="I218" s="18"/>
      <c r="J218" s="655"/>
    </row>
    <row r="219" spans="1:10" s="1" customFormat="1" ht="35.15" customHeight="1">
      <c r="A219" s="501">
        <v>5</v>
      </c>
      <c r="B219" s="27" t="s">
        <v>320</v>
      </c>
      <c r="C219" s="27" t="s">
        <v>3144</v>
      </c>
      <c r="D219" s="17" t="s">
        <v>3145</v>
      </c>
      <c r="E219" s="16">
        <v>21038</v>
      </c>
      <c r="F219" s="17" t="s">
        <v>17</v>
      </c>
      <c r="G219" s="17">
        <v>8130927853</v>
      </c>
      <c r="H219" s="360"/>
      <c r="I219" s="18"/>
      <c r="J219" s="655"/>
    </row>
    <row r="220" spans="1:10" s="1" customFormat="1" ht="35.15" customHeight="1">
      <c r="A220" s="501">
        <v>6</v>
      </c>
      <c r="B220" s="27" t="s">
        <v>321</v>
      </c>
      <c r="C220" s="27" t="s">
        <v>3172</v>
      </c>
      <c r="D220" s="17" t="s">
        <v>3156</v>
      </c>
      <c r="E220" s="16">
        <v>27875</v>
      </c>
      <c r="F220" s="17" t="s">
        <v>17</v>
      </c>
      <c r="G220" s="17">
        <v>9313858488</v>
      </c>
      <c r="H220" s="360"/>
      <c r="I220" s="18"/>
      <c r="J220" s="655"/>
    </row>
    <row r="221" spans="1:10" s="1" customFormat="1" ht="35.15" customHeight="1">
      <c r="A221" s="501">
        <v>7</v>
      </c>
      <c r="B221" s="27" t="s">
        <v>322</v>
      </c>
      <c r="C221" s="27" t="s">
        <v>3173</v>
      </c>
      <c r="D221" s="17" t="s">
        <v>3156</v>
      </c>
      <c r="E221" s="16">
        <v>5238</v>
      </c>
      <c r="F221" s="17" t="s">
        <v>17</v>
      </c>
      <c r="G221" s="17">
        <v>9911601102</v>
      </c>
      <c r="H221" s="360"/>
      <c r="I221" s="18"/>
      <c r="J221" s="655"/>
    </row>
    <row r="222" spans="1:10" s="1" customFormat="1" ht="35.15" customHeight="1">
      <c r="A222" s="501">
        <v>8</v>
      </c>
      <c r="B222" s="27" t="s">
        <v>3272</v>
      </c>
      <c r="C222" s="27" t="s">
        <v>3273</v>
      </c>
      <c r="D222" s="17" t="s">
        <v>3274</v>
      </c>
      <c r="E222" s="16">
        <v>36002</v>
      </c>
      <c r="F222" s="17" t="s">
        <v>13</v>
      </c>
      <c r="G222" s="17">
        <v>9310897076</v>
      </c>
      <c r="H222" s="360"/>
      <c r="I222" s="18"/>
      <c r="J222" s="655"/>
    </row>
    <row r="223" spans="1:10" s="1" customFormat="1" ht="35" customHeight="1">
      <c r="A223" s="501">
        <v>9</v>
      </c>
      <c r="B223" s="27" t="s">
        <v>323</v>
      </c>
      <c r="C223" s="27" t="s">
        <v>3146</v>
      </c>
      <c r="D223" s="17" t="s">
        <v>3147</v>
      </c>
      <c r="E223" s="16">
        <v>3841</v>
      </c>
      <c r="F223" s="17" t="s">
        <v>29</v>
      </c>
      <c r="G223" s="17">
        <v>9711252783</v>
      </c>
      <c r="H223" s="360"/>
      <c r="I223" s="18"/>
      <c r="J223" s="655"/>
    </row>
    <row r="224" spans="1:10" s="1" customFormat="1" ht="35" customHeight="1">
      <c r="A224" s="501">
        <v>10</v>
      </c>
      <c r="B224" s="27" t="s">
        <v>331</v>
      </c>
      <c r="C224" s="27" t="s">
        <v>3213</v>
      </c>
      <c r="D224" s="17" t="s">
        <v>3175</v>
      </c>
      <c r="E224" s="16">
        <v>30845</v>
      </c>
      <c r="F224" s="17" t="s">
        <v>17</v>
      </c>
      <c r="G224" s="17">
        <v>9911240117</v>
      </c>
      <c r="H224" s="360"/>
      <c r="I224" s="18"/>
      <c r="J224" s="655"/>
    </row>
    <row r="225" spans="1:10" s="1" customFormat="1" ht="35.15" customHeight="1">
      <c r="A225" s="501">
        <v>11</v>
      </c>
      <c r="B225" s="27" t="s">
        <v>2093</v>
      </c>
      <c r="C225" s="27" t="s">
        <v>2094</v>
      </c>
      <c r="D225" s="17" t="s">
        <v>3214</v>
      </c>
      <c r="E225" s="16">
        <v>490</v>
      </c>
      <c r="F225" s="17" t="s">
        <v>1222</v>
      </c>
      <c r="G225" s="383">
        <v>9911240117</v>
      </c>
      <c r="H225" s="360"/>
      <c r="I225" s="18"/>
      <c r="J225" s="655"/>
    </row>
    <row r="226" spans="1:10" s="1" customFormat="1" ht="35" customHeight="1">
      <c r="A226" s="501">
        <v>12</v>
      </c>
      <c r="B226" s="27" t="s">
        <v>333</v>
      </c>
      <c r="C226" s="27" t="s">
        <v>3215</v>
      </c>
      <c r="D226" s="17" t="s">
        <v>3216</v>
      </c>
      <c r="E226" s="16">
        <v>6638</v>
      </c>
      <c r="F226" s="17" t="s">
        <v>29</v>
      </c>
      <c r="G226" s="17">
        <v>9911240117</v>
      </c>
      <c r="H226" s="360"/>
      <c r="I226" s="18"/>
      <c r="J226" s="655"/>
    </row>
    <row r="227" spans="1:10" s="1" customFormat="1" ht="35" customHeight="1">
      <c r="A227" s="501">
        <v>13</v>
      </c>
      <c r="B227" s="27" t="s">
        <v>334</v>
      </c>
      <c r="C227" s="27" t="s">
        <v>3174</v>
      </c>
      <c r="D227" s="17" t="s">
        <v>3175</v>
      </c>
      <c r="E227" s="16">
        <v>29285</v>
      </c>
      <c r="F227" s="17" t="s">
        <v>69</v>
      </c>
      <c r="G227" s="17">
        <v>9871509977</v>
      </c>
      <c r="H227" s="360"/>
      <c r="I227" s="18"/>
      <c r="J227" s="655"/>
    </row>
    <row r="228" spans="1:10" s="7" customFormat="1" ht="35" customHeight="1" thickBot="1">
      <c r="A228" s="481">
        <v>14</v>
      </c>
      <c r="B228" s="368" t="s">
        <v>338</v>
      </c>
      <c r="C228" s="368" t="s">
        <v>3230</v>
      </c>
      <c r="D228" s="364" t="s">
        <v>3216</v>
      </c>
      <c r="E228" s="371">
        <v>23735</v>
      </c>
      <c r="F228" s="364" t="s">
        <v>13</v>
      </c>
      <c r="G228" s="364">
        <v>9873636250</v>
      </c>
      <c r="H228" s="365"/>
      <c r="I228" s="363"/>
      <c r="J228" s="434"/>
    </row>
    <row r="229" spans="1:10" s="7" customFormat="1" ht="30" customHeight="1">
      <c r="A229" s="356"/>
      <c r="D229" s="8"/>
      <c r="E229" s="238"/>
      <c r="F229" s="8"/>
      <c r="G229" s="8"/>
      <c r="J229" s="400"/>
    </row>
    <row r="230" spans="1:10" s="7" customFormat="1" ht="30" customHeight="1">
      <c r="A230" s="356"/>
    </row>
    <row r="231" spans="1:10" s="7" customFormat="1" ht="30" customHeight="1">
      <c r="A231" s="356"/>
    </row>
    <row r="232" spans="1:10" s="7" customFormat="1" ht="30" customHeight="1">
      <c r="A232" s="356"/>
    </row>
    <row r="233" spans="1:10" s="7" customFormat="1" ht="30" customHeight="1">
      <c r="A233" s="356"/>
    </row>
    <row r="234" spans="1:10" s="7" customFormat="1" ht="30" customHeight="1">
      <c r="A234" s="356"/>
    </row>
    <row r="235" spans="1:10" s="7" customFormat="1" ht="30" customHeight="1">
      <c r="A235" s="356"/>
      <c r="J235" s="400"/>
    </row>
    <row r="236" spans="1:10" s="7" customFormat="1" ht="30" customHeight="1">
      <c r="A236" s="356"/>
      <c r="J236" s="400"/>
    </row>
    <row r="237" spans="1:10" s="7" customFormat="1" ht="30" customHeight="1" thickBot="1">
      <c r="A237" s="356"/>
      <c r="D237" s="8"/>
      <c r="E237" s="238"/>
      <c r="F237" s="8"/>
      <c r="G237" s="8"/>
      <c r="J237" s="400"/>
    </row>
    <row r="238" spans="1:10" s="340" customFormat="1" ht="35.15" customHeight="1" thickBot="1">
      <c r="A238" s="585"/>
      <c r="B238" s="402"/>
      <c r="C238" s="402"/>
      <c r="D238" s="404" t="s">
        <v>339</v>
      </c>
      <c r="E238" s="402"/>
      <c r="F238" s="402"/>
      <c r="G238" s="402"/>
      <c r="H238" s="402"/>
      <c r="I238" s="403"/>
      <c r="J238" s="400">
        <v>12</v>
      </c>
    </row>
    <row r="239" spans="1:10" s="1" customFormat="1" ht="40" customHeight="1">
      <c r="A239" s="501">
        <v>1</v>
      </c>
      <c r="B239" s="27" t="s">
        <v>340</v>
      </c>
      <c r="C239" s="27" t="s">
        <v>3355</v>
      </c>
      <c r="D239" s="17" t="s">
        <v>3284</v>
      </c>
      <c r="E239" s="16">
        <v>7576</v>
      </c>
      <c r="F239" s="17" t="s">
        <v>17</v>
      </c>
      <c r="G239" s="17">
        <v>67</v>
      </c>
      <c r="H239" s="360"/>
      <c r="I239" s="18"/>
      <c r="J239" s="401"/>
    </row>
    <row r="240" spans="1:10" s="1" customFormat="1" ht="40" customHeight="1">
      <c r="A240" s="501">
        <v>2</v>
      </c>
      <c r="B240" s="27" t="s">
        <v>311</v>
      </c>
      <c r="C240" s="27" t="s">
        <v>3301</v>
      </c>
      <c r="D240" s="17" t="s">
        <v>3276</v>
      </c>
      <c r="E240" s="16">
        <v>13972</v>
      </c>
      <c r="F240" s="17" t="s">
        <v>17</v>
      </c>
      <c r="G240" s="17">
        <v>8810435664</v>
      </c>
      <c r="H240" s="360"/>
      <c r="I240" s="18"/>
      <c r="J240" s="401"/>
    </row>
    <row r="241" spans="1:10" s="1" customFormat="1" ht="40" customHeight="1">
      <c r="A241" s="501">
        <v>3</v>
      </c>
      <c r="B241" s="27" t="s">
        <v>341</v>
      </c>
      <c r="C241" s="27" t="s">
        <v>342</v>
      </c>
      <c r="D241" s="17" t="s">
        <v>343</v>
      </c>
      <c r="E241" s="16">
        <v>69337</v>
      </c>
      <c r="F241" s="17" t="s">
        <v>344</v>
      </c>
      <c r="G241" s="17">
        <v>9650870552</v>
      </c>
      <c r="H241" s="360" t="s">
        <v>2772</v>
      </c>
      <c r="I241" s="18"/>
      <c r="J241" s="401"/>
    </row>
    <row r="242" spans="1:10" s="1" customFormat="1" ht="40" customHeight="1">
      <c r="A242" s="501">
        <v>4</v>
      </c>
      <c r="B242" s="27" t="s">
        <v>3309</v>
      </c>
      <c r="C242" s="27" t="s">
        <v>3310</v>
      </c>
      <c r="D242" s="17" t="s">
        <v>3308</v>
      </c>
      <c r="E242" s="16">
        <v>33934</v>
      </c>
      <c r="F242" s="17" t="s">
        <v>17</v>
      </c>
      <c r="G242" s="17">
        <v>9897585927</v>
      </c>
      <c r="H242" s="360"/>
      <c r="I242" s="18"/>
      <c r="J242" s="401"/>
    </row>
    <row r="243" spans="1:10" s="1" customFormat="1" ht="40" customHeight="1">
      <c r="A243" s="501">
        <v>5</v>
      </c>
      <c r="B243" s="27" t="s">
        <v>345</v>
      </c>
      <c r="C243" s="27" t="s">
        <v>3360</v>
      </c>
      <c r="D243" s="17" t="s">
        <v>3161</v>
      </c>
      <c r="E243" s="16">
        <v>5762</v>
      </c>
      <c r="F243" s="17" t="s">
        <v>17</v>
      </c>
      <c r="G243" s="17">
        <v>9717361222</v>
      </c>
      <c r="H243" s="360" t="s">
        <v>140</v>
      </c>
      <c r="I243" s="18"/>
      <c r="J243" s="401"/>
    </row>
    <row r="244" spans="1:10" s="1" customFormat="1" ht="40" customHeight="1">
      <c r="A244" s="501">
        <v>6</v>
      </c>
      <c r="B244" s="27" t="s">
        <v>346</v>
      </c>
      <c r="C244" s="27" t="s">
        <v>3312</v>
      </c>
      <c r="D244" s="17" t="s">
        <v>3313</v>
      </c>
      <c r="E244" s="16">
        <v>25588</v>
      </c>
      <c r="F244" s="17" t="s">
        <v>13</v>
      </c>
      <c r="G244" s="17">
        <v>9810366884</v>
      </c>
      <c r="H244" s="360" t="s">
        <v>347</v>
      </c>
      <c r="I244" s="18"/>
      <c r="J244" s="401"/>
    </row>
    <row r="245" spans="1:10" s="1" customFormat="1" ht="40" customHeight="1">
      <c r="A245" s="501">
        <v>7</v>
      </c>
      <c r="B245" s="27" t="s">
        <v>348</v>
      </c>
      <c r="C245" s="27" t="s">
        <v>3176</v>
      </c>
      <c r="D245" s="17" t="s">
        <v>1091</v>
      </c>
      <c r="E245" s="16">
        <v>37039</v>
      </c>
      <c r="F245" s="17" t="s">
        <v>13</v>
      </c>
      <c r="G245" s="17">
        <v>9810369191</v>
      </c>
      <c r="H245" s="360"/>
      <c r="I245" s="18"/>
      <c r="J245" s="655"/>
    </row>
    <row r="246" spans="1:10" s="1" customFormat="1" ht="40" customHeight="1">
      <c r="A246" s="501">
        <v>8</v>
      </c>
      <c r="B246" s="27" t="s">
        <v>349</v>
      </c>
      <c r="C246" s="27" t="s">
        <v>3352</v>
      </c>
      <c r="D246" s="17" t="s">
        <v>3338</v>
      </c>
      <c r="E246" s="16">
        <v>41203</v>
      </c>
      <c r="F246" s="17" t="s">
        <v>13</v>
      </c>
      <c r="G246" s="17">
        <v>8766380477</v>
      </c>
      <c r="H246" s="360" t="s">
        <v>2773</v>
      </c>
      <c r="I246" s="18" t="s">
        <v>350</v>
      </c>
      <c r="J246" s="655"/>
    </row>
    <row r="247" spans="1:10" s="1" customFormat="1" ht="40" customHeight="1">
      <c r="A247" s="501">
        <v>9</v>
      </c>
      <c r="B247" s="27" t="s">
        <v>351</v>
      </c>
      <c r="C247" s="27" t="s">
        <v>3233</v>
      </c>
      <c r="D247" s="17" t="s">
        <v>3234</v>
      </c>
      <c r="E247" s="16">
        <v>27767</v>
      </c>
      <c r="F247" s="17" t="s">
        <v>13</v>
      </c>
      <c r="G247" s="17">
        <v>9868791091</v>
      </c>
      <c r="H247" s="360"/>
      <c r="I247" s="18"/>
      <c r="J247" s="655"/>
    </row>
    <row r="248" spans="1:10" s="1" customFormat="1" ht="40" customHeight="1" thickBot="1">
      <c r="A248" s="481">
        <v>10</v>
      </c>
      <c r="B248" s="368" t="s">
        <v>356</v>
      </c>
      <c r="C248" s="368" t="s">
        <v>3444</v>
      </c>
      <c r="D248" s="364" t="s">
        <v>3387</v>
      </c>
      <c r="E248" s="371">
        <v>41904</v>
      </c>
      <c r="F248" s="364" t="s">
        <v>17</v>
      </c>
      <c r="G248" s="364">
        <v>9810119787</v>
      </c>
      <c r="H248" s="365"/>
      <c r="I248" s="363"/>
      <c r="J248" s="655"/>
    </row>
    <row r="249" spans="1:10" s="89" customFormat="1" ht="40" customHeight="1">
      <c r="A249" s="356" t="s">
        <v>357</v>
      </c>
      <c r="B249" s="385">
        <f>A248+A228+A205+A187+A171+A154+A132+A102+A75+A57+Star!A37+A17</f>
        <v>182</v>
      </c>
      <c r="C249" s="386"/>
      <c r="D249" s="79">
        <f>E249/100000</f>
        <v>50.884610000000002</v>
      </c>
      <c r="E249" s="387">
        <f>SUM(E4:E248)</f>
        <v>5088461</v>
      </c>
      <c r="F249" s="388"/>
      <c r="G249" s="388"/>
      <c r="H249" s="386"/>
      <c r="I249" s="386"/>
      <c r="J249" s="401"/>
    </row>
    <row r="250" spans="1:10" ht="25" customHeight="1">
      <c r="B250" s="389"/>
      <c r="D250" s="579"/>
      <c r="E250" s="580"/>
    </row>
  </sheetData>
  <mergeCells count="28">
    <mergeCell ref="G166:G167"/>
    <mergeCell ref="A21:I21"/>
    <mergeCell ref="A22:I22"/>
    <mergeCell ref="G179:G180"/>
    <mergeCell ref="I150:I152"/>
    <mergeCell ref="G50:G51"/>
    <mergeCell ref="G86:G87"/>
    <mergeCell ref="G116:G117"/>
    <mergeCell ref="G118:G119"/>
    <mergeCell ref="G150:G152"/>
    <mergeCell ref="G83:G84"/>
    <mergeCell ref="I166:I167"/>
    <mergeCell ref="H166:H167"/>
    <mergeCell ref="H86:H87"/>
    <mergeCell ref="H116:H117"/>
    <mergeCell ref="H118:H119"/>
    <mergeCell ref="A1:I1"/>
    <mergeCell ref="A2:I2"/>
    <mergeCell ref="I50:I51"/>
    <mergeCell ref="H50:H51"/>
    <mergeCell ref="H150:H152"/>
    <mergeCell ref="I86:I87"/>
    <mergeCell ref="I116:I117"/>
    <mergeCell ref="I118:I119"/>
    <mergeCell ref="A39:I39"/>
    <mergeCell ref="A40:I40"/>
    <mergeCell ref="A63:I63"/>
    <mergeCell ref="A64:I64"/>
  </mergeCells>
  <phoneticPr fontId="69" type="noConversion"/>
  <pageMargins left="0.51" right="0" top="0.48" bottom="0" header="0" footer="0"/>
  <pageSetup scale="7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K426"/>
  <sheetViews>
    <sheetView topLeftCell="A417" zoomScale="70" zoomScaleNormal="70" workbookViewId="0">
      <selection activeCell="E440" sqref="E440"/>
    </sheetView>
  </sheetViews>
  <sheetFormatPr defaultColWidth="9.1796875" defaultRowHeight="15.5"/>
  <cols>
    <col min="1" max="1" width="6.1796875" style="127" bestFit="1" customWidth="1"/>
    <col min="2" max="2" width="53.36328125" style="127" bestFit="1" customWidth="1"/>
    <col min="3" max="3" width="58.1796875" style="127" bestFit="1" customWidth="1"/>
    <col min="4" max="4" width="18.1796875" style="127" bestFit="1" customWidth="1"/>
    <col min="5" max="5" width="17" style="127" bestFit="1" customWidth="1"/>
    <col min="6" max="6" width="16.54296875" style="171" bestFit="1" customWidth="1"/>
    <col min="7" max="7" width="18.90625" style="171" customWidth="1"/>
    <col min="8" max="8" width="23.7265625" style="127" bestFit="1" customWidth="1"/>
    <col min="9" max="9" width="13.6328125" style="127" customWidth="1"/>
    <col min="10" max="10" width="6.1796875" style="407" customWidth="1"/>
    <col min="11" max="11" width="7.81640625" style="127" customWidth="1"/>
    <col min="12" max="16384" width="9.1796875" style="127"/>
  </cols>
  <sheetData>
    <row r="1" spans="1:10" ht="30" customHeight="1" thickBot="1">
      <c r="A1" s="1096" t="s">
        <v>358</v>
      </c>
      <c r="B1" s="1097"/>
      <c r="C1" s="1097"/>
      <c r="D1" s="1097"/>
      <c r="E1" s="1097"/>
      <c r="F1" s="1097"/>
      <c r="G1" s="1097"/>
      <c r="H1" s="1097"/>
      <c r="I1" s="1098"/>
      <c r="J1" s="406">
        <v>1</v>
      </c>
    </row>
    <row r="2" spans="1:10" ht="30" customHeight="1" thickBot="1">
      <c r="A2" s="1099" t="s">
        <v>359</v>
      </c>
      <c r="B2" s="1100"/>
      <c r="C2" s="1100"/>
      <c r="D2" s="1100"/>
      <c r="E2" s="1100"/>
      <c r="F2" s="1100"/>
      <c r="G2" s="1100"/>
      <c r="H2" s="1100"/>
      <c r="I2" s="1101"/>
    </row>
    <row r="3" spans="1:10" s="268" customFormat="1" ht="30" customHeight="1" thickBot="1">
      <c r="A3" s="423" t="s">
        <v>2</v>
      </c>
      <c r="B3" s="272" t="s">
        <v>3</v>
      </c>
      <c r="C3" s="272" t="s">
        <v>4</v>
      </c>
      <c r="D3" s="273" t="s">
        <v>5</v>
      </c>
      <c r="E3" s="272" t="s">
        <v>6</v>
      </c>
      <c r="F3" s="272" t="s">
        <v>360</v>
      </c>
      <c r="G3" s="272" t="s">
        <v>8</v>
      </c>
      <c r="H3" s="272" t="s">
        <v>9</v>
      </c>
      <c r="I3" s="297" t="s">
        <v>10</v>
      </c>
      <c r="J3" s="408"/>
    </row>
    <row r="4" spans="1:10" ht="37" customHeight="1">
      <c r="A4" s="424">
        <v>1</v>
      </c>
      <c r="B4" s="778" t="s">
        <v>3374</v>
      </c>
      <c r="C4" s="274" t="s">
        <v>3373</v>
      </c>
      <c r="D4" s="275" t="s">
        <v>3371</v>
      </c>
      <c r="E4" s="276">
        <v>100984</v>
      </c>
      <c r="F4" s="779" t="s">
        <v>3372</v>
      </c>
      <c r="G4" s="277"/>
      <c r="H4" s="278"/>
      <c r="I4" s="177"/>
    </row>
    <row r="5" spans="1:10" ht="37" customHeight="1">
      <c r="A5" s="421">
        <v>2</v>
      </c>
      <c r="B5" s="323" t="s">
        <v>361</v>
      </c>
      <c r="C5" s="198" t="s">
        <v>3405</v>
      </c>
      <c r="D5" s="305" t="s">
        <v>3406</v>
      </c>
      <c r="E5" s="306">
        <v>62433</v>
      </c>
      <c r="F5" s="757" t="s">
        <v>17</v>
      </c>
      <c r="G5" s="296">
        <v>8744863636</v>
      </c>
      <c r="H5" s="450"/>
      <c r="I5" s="654"/>
      <c r="J5" s="422"/>
    </row>
    <row r="6" spans="1:10" ht="37" customHeight="1">
      <c r="A6" s="421">
        <v>3</v>
      </c>
      <c r="B6" s="323" t="s">
        <v>362</v>
      </c>
      <c r="C6" s="198" t="s">
        <v>3448</v>
      </c>
      <c r="D6" s="305" t="s">
        <v>3401</v>
      </c>
      <c r="E6" s="306">
        <v>36617</v>
      </c>
      <c r="F6" s="757" t="s">
        <v>17</v>
      </c>
      <c r="G6" s="296">
        <v>9811967585</v>
      </c>
      <c r="H6" s="450"/>
      <c r="I6" s="654"/>
      <c r="J6" s="422"/>
    </row>
    <row r="7" spans="1:10" ht="37" customHeight="1">
      <c r="A7" s="421">
        <v>4</v>
      </c>
      <c r="B7" s="323" t="s">
        <v>3408</v>
      </c>
      <c r="C7" s="198" t="s">
        <v>3410</v>
      </c>
      <c r="D7" s="305" t="s">
        <v>3409</v>
      </c>
      <c r="E7" s="306">
        <v>98683</v>
      </c>
      <c r="F7" s="757" t="s">
        <v>3411</v>
      </c>
      <c r="G7" s="296">
        <v>9810306936</v>
      </c>
      <c r="H7" s="450"/>
      <c r="I7" s="654"/>
      <c r="J7" s="422"/>
    </row>
    <row r="8" spans="1:10" ht="37" customHeight="1">
      <c r="A8" s="421">
        <v>5</v>
      </c>
      <c r="B8" s="323" t="s">
        <v>3420</v>
      </c>
      <c r="C8" s="198" t="s">
        <v>3421</v>
      </c>
      <c r="D8" s="305" t="s">
        <v>3413</v>
      </c>
      <c r="E8" s="306">
        <v>36526</v>
      </c>
      <c r="F8" s="757" t="s">
        <v>17</v>
      </c>
      <c r="G8" s="296">
        <v>9958325729</v>
      </c>
      <c r="H8" s="450"/>
      <c r="I8" s="654"/>
      <c r="J8" s="422"/>
    </row>
    <row r="9" spans="1:10" ht="37" customHeight="1">
      <c r="A9" s="421">
        <v>6</v>
      </c>
      <c r="B9" s="323" t="s">
        <v>364</v>
      </c>
      <c r="C9" s="198" t="s">
        <v>3402</v>
      </c>
      <c r="D9" s="305" t="s">
        <v>3401</v>
      </c>
      <c r="E9" s="306">
        <v>50138</v>
      </c>
      <c r="F9" s="757" t="s">
        <v>13</v>
      </c>
      <c r="G9" s="296"/>
      <c r="H9" s="450" t="s">
        <v>365</v>
      </c>
      <c r="I9" s="654"/>
      <c r="J9" s="422"/>
    </row>
    <row r="10" spans="1:10" ht="37" customHeight="1">
      <c r="A10" s="421">
        <v>7</v>
      </c>
      <c r="B10" s="323" t="s">
        <v>3492</v>
      </c>
      <c r="C10" s="198" t="s">
        <v>368</v>
      </c>
      <c r="D10" s="305" t="s">
        <v>3442</v>
      </c>
      <c r="E10" s="306">
        <v>14221</v>
      </c>
      <c r="F10" s="757" t="s">
        <v>17</v>
      </c>
      <c r="G10" s="296">
        <v>9149830776</v>
      </c>
      <c r="H10" s="450" t="s">
        <v>369</v>
      </c>
      <c r="I10" s="654"/>
      <c r="J10" s="422"/>
    </row>
    <row r="11" spans="1:10" ht="37" customHeight="1">
      <c r="A11" s="421">
        <v>8</v>
      </c>
      <c r="B11" s="323" t="s">
        <v>370</v>
      </c>
      <c r="C11" s="194" t="s">
        <v>3449</v>
      </c>
      <c r="D11" s="279" t="s">
        <v>3413</v>
      </c>
      <c r="E11" s="280">
        <v>34095</v>
      </c>
      <c r="F11" s="281" t="s">
        <v>21</v>
      </c>
      <c r="G11" s="282"/>
      <c r="H11" s="283" t="s">
        <v>365</v>
      </c>
      <c r="I11" s="176"/>
      <c r="J11" s="422"/>
    </row>
    <row r="12" spans="1:10" ht="37" customHeight="1">
      <c r="A12" s="421">
        <v>9</v>
      </c>
      <c r="B12" s="120" t="s">
        <v>371</v>
      </c>
      <c r="C12" s="194" t="s">
        <v>3400</v>
      </c>
      <c r="D12" s="279" t="s">
        <v>376</v>
      </c>
      <c r="E12" s="280">
        <v>14777</v>
      </c>
      <c r="F12" s="777" t="s">
        <v>3521</v>
      </c>
      <c r="G12" s="282">
        <v>9813078846</v>
      </c>
      <c r="H12" s="283"/>
      <c r="I12" s="176"/>
    </row>
    <row r="13" spans="1:10" ht="37" customHeight="1">
      <c r="A13" s="421">
        <v>10</v>
      </c>
      <c r="B13" s="120" t="s">
        <v>373</v>
      </c>
      <c r="C13" s="194" t="s">
        <v>3471</v>
      </c>
      <c r="D13" s="279" t="s">
        <v>3472</v>
      </c>
      <c r="E13" s="280">
        <v>7085</v>
      </c>
      <c r="F13" s="777" t="s">
        <v>3528</v>
      </c>
      <c r="G13" s="282">
        <v>8398926562</v>
      </c>
      <c r="H13" s="283"/>
      <c r="I13" s="176"/>
    </row>
    <row r="14" spans="1:10" ht="37" customHeight="1">
      <c r="A14" s="421">
        <v>11</v>
      </c>
      <c r="B14" s="323" t="s">
        <v>374</v>
      </c>
      <c r="C14" s="194" t="s">
        <v>375</v>
      </c>
      <c r="D14" s="279" t="s">
        <v>376</v>
      </c>
      <c r="E14" s="280">
        <v>88827</v>
      </c>
      <c r="F14" s="281" t="s">
        <v>377</v>
      </c>
      <c r="G14" s="282">
        <v>9810807759</v>
      </c>
      <c r="H14" s="283" t="s">
        <v>378</v>
      </c>
      <c r="I14" s="176"/>
    </row>
    <row r="15" spans="1:10" ht="37" customHeight="1">
      <c r="A15" s="421">
        <v>12</v>
      </c>
      <c r="B15" s="323" t="s">
        <v>379</v>
      </c>
      <c r="C15" s="194" t="s">
        <v>380</v>
      </c>
      <c r="D15" s="279" t="s">
        <v>376</v>
      </c>
      <c r="E15" s="280">
        <v>235649</v>
      </c>
      <c r="F15" s="281" t="s">
        <v>377</v>
      </c>
      <c r="G15" s="282">
        <v>9810777787</v>
      </c>
      <c r="H15" s="283" t="s">
        <v>378</v>
      </c>
      <c r="I15" s="176"/>
    </row>
    <row r="16" spans="1:10" ht="37" customHeight="1">
      <c r="A16" s="421">
        <v>13</v>
      </c>
      <c r="B16" s="323" t="s">
        <v>3451</v>
      </c>
      <c r="C16" s="194" t="s">
        <v>3452</v>
      </c>
      <c r="D16" s="279" t="s">
        <v>3450</v>
      </c>
      <c r="E16" s="280">
        <v>94499</v>
      </c>
      <c r="F16" s="281" t="s">
        <v>13</v>
      </c>
      <c r="G16" s="282">
        <v>9818241535</v>
      </c>
      <c r="H16" s="283" t="s">
        <v>2775</v>
      </c>
      <c r="I16" s="176"/>
    </row>
    <row r="17" spans="1:10" ht="37" customHeight="1">
      <c r="A17" s="421">
        <v>14</v>
      </c>
      <c r="B17" s="120" t="s">
        <v>382</v>
      </c>
      <c r="C17" s="194" t="s">
        <v>3446</v>
      </c>
      <c r="D17" s="279" t="s">
        <v>3445</v>
      </c>
      <c r="E17" s="280">
        <v>6206</v>
      </c>
      <c r="F17" s="290" t="s">
        <v>384</v>
      </c>
      <c r="G17" s="1120">
        <v>9953834013</v>
      </c>
      <c r="H17" s="283"/>
      <c r="I17" s="176"/>
      <c r="J17" s="171"/>
    </row>
    <row r="18" spans="1:10" ht="37" customHeight="1">
      <c r="A18" s="421">
        <v>15</v>
      </c>
      <c r="B18" s="120" t="s">
        <v>385</v>
      </c>
      <c r="C18" s="194" t="s">
        <v>3447</v>
      </c>
      <c r="D18" s="279" t="s">
        <v>3445</v>
      </c>
      <c r="E18" s="280">
        <v>21867</v>
      </c>
      <c r="F18" s="777" t="s">
        <v>17</v>
      </c>
      <c r="G18" s="1120"/>
      <c r="H18" s="283"/>
      <c r="I18" s="176"/>
      <c r="J18" s="171"/>
    </row>
    <row r="19" spans="1:10" ht="37" customHeight="1">
      <c r="A19" s="421">
        <v>16</v>
      </c>
      <c r="B19" s="120" t="s">
        <v>391</v>
      </c>
      <c r="C19" s="194" t="s">
        <v>3453</v>
      </c>
      <c r="D19" s="279" t="s">
        <v>880</v>
      </c>
      <c r="E19" s="280">
        <v>74028</v>
      </c>
      <c r="F19" s="777" t="s">
        <v>21</v>
      </c>
      <c r="G19" s="282">
        <v>9810758012</v>
      </c>
      <c r="H19" s="283" t="s">
        <v>392</v>
      </c>
      <c r="I19" s="175">
        <v>9013857400</v>
      </c>
      <c r="J19" s="171"/>
    </row>
    <row r="20" spans="1:10" ht="37" customHeight="1">
      <c r="A20" s="421">
        <v>17</v>
      </c>
      <c r="B20" s="120" t="s">
        <v>3544</v>
      </c>
      <c r="C20" s="194" t="s">
        <v>3482</v>
      </c>
      <c r="D20" s="279" t="s">
        <v>880</v>
      </c>
      <c r="E20" s="280">
        <v>16432</v>
      </c>
      <c r="F20" s="777" t="s">
        <v>21</v>
      </c>
      <c r="G20" s="780"/>
      <c r="H20" s="283"/>
      <c r="I20" s="176"/>
      <c r="J20" s="171"/>
    </row>
    <row r="21" spans="1:10" ht="37" customHeight="1">
      <c r="A21" s="421">
        <v>18</v>
      </c>
      <c r="B21" s="120" t="s">
        <v>3486</v>
      </c>
      <c r="C21" s="194" t="s">
        <v>3485</v>
      </c>
      <c r="D21" s="279" t="s">
        <v>3472</v>
      </c>
      <c r="E21" s="280">
        <v>50304</v>
      </c>
      <c r="F21" s="777" t="s">
        <v>2814</v>
      </c>
      <c r="G21" s="780"/>
      <c r="H21" s="283" t="s">
        <v>3088</v>
      </c>
      <c r="I21" s="176"/>
      <c r="J21" s="171"/>
    </row>
    <row r="22" spans="1:10" ht="37" customHeight="1">
      <c r="A22" s="421">
        <v>19</v>
      </c>
      <c r="B22" s="120" t="s">
        <v>3487</v>
      </c>
      <c r="C22" s="194" t="s">
        <v>3483</v>
      </c>
      <c r="D22" s="279" t="s">
        <v>898</v>
      </c>
      <c r="E22" s="280">
        <v>15024.75</v>
      </c>
      <c r="F22" s="281" t="s">
        <v>69</v>
      </c>
      <c r="G22" s="282">
        <v>9013501006</v>
      </c>
      <c r="H22" s="283" t="s">
        <v>3088</v>
      </c>
      <c r="I22" s="176"/>
    </row>
    <row r="23" spans="1:10" ht="37" customHeight="1">
      <c r="A23" s="421">
        <v>20</v>
      </c>
      <c r="B23" s="120" t="s">
        <v>3488</v>
      </c>
      <c r="C23" s="194" t="s">
        <v>3484</v>
      </c>
      <c r="D23" s="279" t="s">
        <v>3461</v>
      </c>
      <c r="E23" s="280">
        <v>14271</v>
      </c>
      <c r="F23" s="281" t="s">
        <v>69</v>
      </c>
      <c r="G23" s="282">
        <v>5</v>
      </c>
      <c r="H23" s="283" t="s">
        <v>3088</v>
      </c>
      <c r="I23" s="176"/>
    </row>
    <row r="24" spans="1:10" ht="37" customHeight="1">
      <c r="A24" s="421">
        <v>21</v>
      </c>
      <c r="B24" s="120" t="s">
        <v>393</v>
      </c>
      <c r="C24" s="194" t="s">
        <v>3490</v>
      </c>
      <c r="D24" s="279" t="s">
        <v>3491</v>
      </c>
      <c r="E24" s="280">
        <v>14300</v>
      </c>
      <c r="F24" s="281" t="s">
        <v>29</v>
      </c>
      <c r="G24" s="282">
        <v>9650043346</v>
      </c>
      <c r="H24" s="283"/>
      <c r="I24" s="176"/>
    </row>
    <row r="25" spans="1:10" ht="37" customHeight="1">
      <c r="A25" s="421">
        <v>22</v>
      </c>
      <c r="B25" s="120" t="s">
        <v>394</v>
      </c>
      <c r="C25" s="194" t="s">
        <v>3509</v>
      </c>
      <c r="D25" s="279" t="s">
        <v>3491</v>
      </c>
      <c r="E25" s="280">
        <v>3349</v>
      </c>
      <c r="F25" s="281" t="s">
        <v>395</v>
      </c>
      <c r="G25" s="282">
        <v>9015715854</v>
      </c>
      <c r="H25" s="283"/>
      <c r="I25" s="176"/>
    </row>
    <row r="26" spans="1:10" ht="37" customHeight="1">
      <c r="A26" s="421">
        <v>23</v>
      </c>
      <c r="B26" s="120" t="s">
        <v>396</v>
      </c>
      <c r="C26" s="194" t="s">
        <v>3455</v>
      </c>
      <c r="D26" s="279" t="s">
        <v>3454</v>
      </c>
      <c r="E26" s="280">
        <v>22565</v>
      </c>
      <c r="F26" s="281" t="s">
        <v>29</v>
      </c>
      <c r="G26" s="282">
        <v>9953802035</v>
      </c>
      <c r="H26" s="283"/>
      <c r="I26" s="176"/>
    </row>
    <row r="27" spans="1:10" ht="37" customHeight="1" thickBot="1">
      <c r="A27" s="430">
        <v>24</v>
      </c>
      <c r="B27" s="314" t="s">
        <v>363</v>
      </c>
      <c r="C27" s="199" t="s">
        <v>3515</v>
      </c>
      <c r="D27" s="302" t="s">
        <v>3454</v>
      </c>
      <c r="E27" s="303">
        <v>19241</v>
      </c>
      <c r="F27" s="789" t="s">
        <v>17</v>
      </c>
      <c r="G27" s="119">
        <v>9811180419</v>
      </c>
      <c r="H27" s="304"/>
      <c r="I27" s="790"/>
    </row>
    <row r="28" spans="1:10" ht="35" customHeight="1" thickBot="1">
      <c r="A28" s="427"/>
      <c r="B28" s="291"/>
      <c r="C28" s="292" t="s">
        <v>40</v>
      </c>
      <c r="D28" s="291"/>
      <c r="E28" s="291"/>
      <c r="F28" s="291"/>
      <c r="G28" s="291"/>
      <c r="H28" s="291"/>
      <c r="I28" s="298"/>
      <c r="J28" s="406">
        <v>2</v>
      </c>
    </row>
    <row r="29" spans="1:10" ht="18" thickBot="1">
      <c r="A29" s="428"/>
      <c r="B29" s="293"/>
      <c r="C29" s="293"/>
      <c r="D29" s="293"/>
      <c r="E29" s="293"/>
      <c r="F29" s="293"/>
      <c r="G29" s="293"/>
      <c r="H29" s="293"/>
      <c r="I29" s="299"/>
    </row>
    <row r="30" spans="1:10" s="268" customFormat="1" ht="35" customHeight="1" thickBot="1">
      <c r="A30" s="423" t="s">
        <v>2</v>
      </c>
      <c r="B30" s="272" t="s">
        <v>3</v>
      </c>
      <c r="C30" s="272" t="s">
        <v>4</v>
      </c>
      <c r="D30" s="273" t="s">
        <v>5</v>
      </c>
      <c r="E30" s="272" t="s">
        <v>6</v>
      </c>
      <c r="F30" s="272" t="s">
        <v>360</v>
      </c>
      <c r="G30" s="272" t="s">
        <v>8</v>
      </c>
      <c r="H30" s="272" t="s">
        <v>9</v>
      </c>
      <c r="I30" s="297" t="s">
        <v>10</v>
      </c>
      <c r="J30" s="408"/>
    </row>
    <row r="31" spans="1:10" ht="38.5" customHeight="1">
      <c r="A31" s="424">
        <v>1</v>
      </c>
      <c r="B31" s="940" t="s">
        <v>3523</v>
      </c>
      <c r="C31" s="274" t="s">
        <v>3524</v>
      </c>
      <c r="D31" s="275" t="s">
        <v>3520</v>
      </c>
      <c r="E31" s="276">
        <v>10450</v>
      </c>
      <c r="F31" s="277" t="s">
        <v>3481</v>
      </c>
      <c r="G31" s="277">
        <v>9368611922</v>
      </c>
      <c r="H31" s="836" t="s">
        <v>3525</v>
      </c>
      <c r="I31" s="657"/>
    </row>
    <row r="32" spans="1:10" ht="38.5" customHeight="1">
      <c r="A32" s="421">
        <v>2</v>
      </c>
      <c r="B32" s="940" t="s">
        <v>3545</v>
      </c>
      <c r="C32" s="198" t="s">
        <v>3529</v>
      </c>
      <c r="D32" s="305" t="s">
        <v>3527</v>
      </c>
      <c r="E32" s="306">
        <v>5500</v>
      </c>
      <c r="F32" s="296" t="s">
        <v>3481</v>
      </c>
      <c r="G32" s="296">
        <v>9811340443</v>
      </c>
      <c r="H32" s="307"/>
      <c r="I32" s="837"/>
    </row>
    <row r="33" spans="1:10" ht="38.5" customHeight="1">
      <c r="A33" s="421">
        <v>3</v>
      </c>
      <c r="B33" s="940" t="s">
        <v>421</v>
      </c>
      <c r="C33" s="198" t="s">
        <v>422</v>
      </c>
      <c r="D33" s="305" t="s">
        <v>3532</v>
      </c>
      <c r="E33" s="306">
        <v>30632</v>
      </c>
      <c r="F33" s="296" t="s">
        <v>3424</v>
      </c>
      <c r="G33" s="296">
        <v>9811340443</v>
      </c>
      <c r="H33" s="307"/>
      <c r="I33" s="837"/>
    </row>
    <row r="34" spans="1:10" ht="38.5" customHeight="1">
      <c r="A34" s="421">
        <v>4</v>
      </c>
      <c r="B34" s="940" t="s">
        <v>397</v>
      </c>
      <c r="C34" s="198" t="s">
        <v>398</v>
      </c>
      <c r="D34" s="305" t="s">
        <v>399</v>
      </c>
      <c r="E34" s="306">
        <v>122749</v>
      </c>
      <c r="F34" s="296" t="s">
        <v>223</v>
      </c>
      <c r="G34" s="577"/>
      <c r="H34" s="450"/>
      <c r="I34" s="654"/>
    </row>
    <row r="35" spans="1:10" ht="38.5" customHeight="1">
      <c r="A35" s="421">
        <v>5</v>
      </c>
      <c r="B35" s="940" t="s">
        <v>400</v>
      </c>
      <c r="C35" s="194" t="s">
        <v>401</v>
      </c>
      <c r="D35" s="279" t="s">
        <v>3527</v>
      </c>
      <c r="E35" s="280">
        <v>28497</v>
      </c>
      <c r="F35" s="296" t="s">
        <v>3357</v>
      </c>
      <c r="G35" s="576"/>
      <c r="H35" s="283" t="s">
        <v>403</v>
      </c>
      <c r="I35" s="176"/>
      <c r="J35" s="422"/>
    </row>
    <row r="36" spans="1:10" ht="38.5" customHeight="1">
      <c r="A36" s="421">
        <v>6</v>
      </c>
      <c r="B36" s="940" t="s">
        <v>404</v>
      </c>
      <c r="C36" s="194" t="s">
        <v>405</v>
      </c>
      <c r="D36" s="279" t="s">
        <v>406</v>
      </c>
      <c r="E36" s="280">
        <v>106584</v>
      </c>
      <c r="F36" s="296" t="s">
        <v>2836</v>
      </c>
      <c r="G36" s="282">
        <v>9057553929</v>
      </c>
      <c r="H36" s="283" t="s">
        <v>407</v>
      </c>
      <c r="I36" s="176"/>
    </row>
    <row r="37" spans="1:10" ht="38.5" customHeight="1">
      <c r="A37" s="421">
        <v>7</v>
      </c>
      <c r="B37" s="940" t="s">
        <v>408</v>
      </c>
      <c r="C37" s="194" t="s">
        <v>409</v>
      </c>
      <c r="D37" s="279" t="s">
        <v>406</v>
      </c>
      <c r="E37" s="280">
        <v>39558</v>
      </c>
      <c r="F37" s="296" t="s">
        <v>2836</v>
      </c>
      <c r="G37" s="576"/>
      <c r="H37" s="283" t="s">
        <v>407</v>
      </c>
      <c r="I37" s="176"/>
    </row>
    <row r="38" spans="1:10" s="268" customFormat="1" ht="38.5" customHeight="1">
      <c r="A38" s="421">
        <v>8</v>
      </c>
      <c r="B38" s="940" t="s">
        <v>3690</v>
      </c>
      <c r="C38" s="194" t="s">
        <v>3689</v>
      </c>
      <c r="D38" s="279" t="s">
        <v>3553</v>
      </c>
      <c r="E38" s="280">
        <v>30595</v>
      </c>
      <c r="F38" s="296" t="s">
        <v>17</v>
      </c>
      <c r="G38" s="1107">
        <v>9210021539</v>
      </c>
      <c r="H38" s="1109"/>
      <c r="I38" s="1117"/>
      <c r="J38" s="927"/>
    </row>
    <row r="39" spans="1:10" ht="38.5" customHeight="1">
      <c r="A39" s="421">
        <v>9</v>
      </c>
      <c r="B39" s="940" t="s">
        <v>410</v>
      </c>
      <c r="C39" s="194" t="s">
        <v>3783</v>
      </c>
      <c r="D39" s="305" t="s">
        <v>3629</v>
      </c>
      <c r="E39" s="306">
        <v>1274</v>
      </c>
      <c r="F39" s="296" t="s">
        <v>69</v>
      </c>
      <c r="G39" s="1108"/>
      <c r="H39" s="1110"/>
      <c r="I39" s="1118"/>
      <c r="J39" s="422"/>
    </row>
    <row r="40" spans="1:10" ht="38.5" customHeight="1">
      <c r="A40" s="421">
        <v>10</v>
      </c>
      <c r="B40" s="940" t="s">
        <v>411</v>
      </c>
      <c r="C40" s="198" t="s">
        <v>3531</v>
      </c>
      <c r="D40" s="305" t="s">
        <v>406</v>
      </c>
      <c r="E40" s="306">
        <v>36544</v>
      </c>
      <c r="F40" s="296" t="s">
        <v>13</v>
      </c>
      <c r="G40" s="296" t="s">
        <v>412</v>
      </c>
      <c r="H40" s="307" t="s">
        <v>365</v>
      </c>
      <c r="I40" s="837"/>
    </row>
    <row r="41" spans="1:10" ht="38.5" customHeight="1">
      <c r="A41" s="421">
        <v>11</v>
      </c>
      <c r="B41" s="940" t="s">
        <v>413</v>
      </c>
      <c r="C41" s="194" t="s">
        <v>3530</v>
      </c>
      <c r="D41" s="279" t="s">
        <v>417</v>
      </c>
      <c r="E41" s="280">
        <v>34858</v>
      </c>
      <c r="F41" s="296" t="s">
        <v>223</v>
      </c>
      <c r="G41" s="282">
        <v>9910044428</v>
      </c>
      <c r="H41" s="294"/>
      <c r="I41" s="300"/>
    </row>
    <row r="42" spans="1:10" ht="38.5" customHeight="1">
      <c r="A42" s="421">
        <v>12</v>
      </c>
      <c r="B42" s="940" t="s">
        <v>414</v>
      </c>
      <c r="C42" s="194" t="s">
        <v>3526</v>
      </c>
      <c r="D42" s="279" t="s">
        <v>417</v>
      </c>
      <c r="E42" s="280">
        <v>32646</v>
      </c>
      <c r="F42" s="296" t="s">
        <v>13</v>
      </c>
      <c r="G42" s="282">
        <v>9999535841</v>
      </c>
      <c r="H42" s="294"/>
      <c r="I42" s="300"/>
    </row>
    <row r="43" spans="1:10" ht="38.5" customHeight="1">
      <c r="A43" s="421">
        <v>13</v>
      </c>
      <c r="B43" s="940" t="s">
        <v>415</v>
      </c>
      <c r="C43" s="194" t="s">
        <v>416</v>
      </c>
      <c r="D43" s="279" t="s">
        <v>417</v>
      </c>
      <c r="E43" s="280">
        <v>103641</v>
      </c>
      <c r="F43" s="296" t="s">
        <v>17</v>
      </c>
      <c r="G43" s="282">
        <v>9582500323</v>
      </c>
      <c r="H43" s="294" t="s">
        <v>2775</v>
      </c>
      <c r="I43" s="300"/>
    </row>
    <row r="44" spans="1:10" ht="38.5" customHeight="1">
      <c r="A44" s="421">
        <v>14</v>
      </c>
      <c r="B44" s="940" t="s">
        <v>418</v>
      </c>
      <c r="C44" s="194" t="s">
        <v>419</v>
      </c>
      <c r="D44" s="279" t="s">
        <v>420</v>
      </c>
      <c r="E44" s="280">
        <v>193219</v>
      </c>
      <c r="F44" s="296" t="s">
        <v>13</v>
      </c>
      <c r="G44" s="576"/>
      <c r="H44" s="294"/>
      <c r="I44" s="300"/>
    </row>
    <row r="45" spans="1:10" ht="38.5" customHeight="1">
      <c r="A45" s="421">
        <v>15</v>
      </c>
      <c r="B45" s="940" t="s">
        <v>3557</v>
      </c>
      <c r="C45" s="194" t="s">
        <v>3558</v>
      </c>
      <c r="D45" s="279" t="s">
        <v>3556</v>
      </c>
      <c r="E45" s="280">
        <v>43113</v>
      </c>
      <c r="F45" s="296" t="s">
        <v>3411</v>
      </c>
      <c r="G45" s="576"/>
      <c r="H45" s="294"/>
      <c r="I45" s="300"/>
    </row>
    <row r="46" spans="1:10" ht="38.5" customHeight="1">
      <c r="A46" s="421">
        <v>16</v>
      </c>
      <c r="B46" s="940" t="s">
        <v>423</v>
      </c>
      <c r="C46" s="198" t="s">
        <v>3552</v>
      </c>
      <c r="D46" s="305" t="s">
        <v>3543</v>
      </c>
      <c r="E46" s="306">
        <v>39917</v>
      </c>
      <c r="F46" s="296" t="s">
        <v>69</v>
      </c>
      <c r="G46" s="296" t="s">
        <v>424</v>
      </c>
      <c r="H46" s="307" t="s">
        <v>365</v>
      </c>
      <c r="I46" s="837"/>
    </row>
    <row r="47" spans="1:10" ht="38.5" customHeight="1">
      <c r="A47" s="421">
        <v>17</v>
      </c>
      <c r="B47" s="940" t="s">
        <v>425</v>
      </c>
      <c r="C47" s="198" t="s">
        <v>3573</v>
      </c>
      <c r="D47" s="305" t="s">
        <v>3513</v>
      </c>
      <c r="E47" s="306">
        <v>32642</v>
      </c>
      <c r="F47" s="296" t="s">
        <v>29</v>
      </c>
      <c r="G47" s="296">
        <v>9810001364</v>
      </c>
      <c r="H47" s="307" t="s">
        <v>2773</v>
      </c>
      <c r="I47" s="837"/>
    </row>
    <row r="48" spans="1:10" ht="38.5" customHeight="1">
      <c r="A48" s="421">
        <v>18</v>
      </c>
      <c r="B48" s="940" t="s">
        <v>426</v>
      </c>
      <c r="C48" s="194" t="s">
        <v>3514</v>
      </c>
      <c r="D48" s="279" t="s">
        <v>3513</v>
      </c>
      <c r="E48" s="280">
        <v>56521</v>
      </c>
      <c r="F48" s="296" t="s">
        <v>427</v>
      </c>
      <c r="G48" s="282">
        <v>9811697999</v>
      </c>
      <c r="H48" s="294" t="s">
        <v>428</v>
      </c>
      <c r="I48" s="300"/>
    </row>
    <row r="49" spans="1:10" ht="38.5" customHeight="1">
      <c r="A49" s="421">
        <v>19</v>
      </c>
      <c r="B49" s="940" t="s">
        <v>429</v>
      </c>
      <c r="C49" s="194" t="s">
        <v>430</v>
      </c>
      <c r="D49" s="279" t="s">
        <v>3506</v>
      </c>
      <c r="E49" s="280">
        <v>56210</v>
      </c>
      <c r="F49" s="296" t="s">
        <v>69</v>
      </c>
      <c r="G49" s="282">
        <v>9910290666</v>
      </c>
      <c r="H49" s="294" t="s">
        <v>431</v>
      </c>
      <c r="I49" s="300"/>
    </row>
    <row r="50" spans="1:10" ht="38.5" customHeight="1">
      <c r="A50" s="421">
        <v>20</v>
      </c>
      <c r="B50" s="940" t="s">
        <v>432</v>
      </c>
      <c r="C50" s="194" t="s">
        <v>3507</v>
      </c>
      <c r="D50" s="279" t="s">
        <v>3506</v>
      </c>
      <c r="E50" s="280">
        <v>19949</v>
      </c>
      <c r="F50" s="296" t="s">
        <v>17</v>
      </c>
      <c r="G50" s="282">
        <v>9873340200</v>
      </c>
      <c r="H50" s="294"/>
      <c r="I50" s="300"/>
    </row>
    <row r="51" spans="1:10" ht="38.5" customHeight="1">
      <c r="A51" s="421">
        <v>21</v>
      </c>
      <c r="B51" s="940" t="s">
        <v>433</v>
      </c>
      <c r="C51" s="194" t="s">
        <v>3765</v>
      </c>
      <c r="D51" s="279" t="s">
        <v>3586</v>
      </c>
      <c r="E51" s="280">
        <v>26949</v>
      </c>
      <c r="F51" s="296" t="s">
        <v>17</v>
      </c>
      <c r="G51" s="282" t="s">
        <v>435</v>
      </c>
      <c r="H51" s="294"/>
      <c r="I51" s="300"/>
    </row>
    <row r="52" spans="1:10" ht="38.5" customHeight="1">
      <c r="A52" s="421">
        <v>22</v>
      </c>
      <c r="B52" s="940" t="s">
        <v>436</v>
      </c>
      <c r="C52" s="194" t="s">
        <v>3579</v>
      </c>
      <c r="D52" s="279" t="s">
        <v>3578</v>
      </c>
      <c r="E52" s="280">
        <v>68436</v>
      </c>
      <c r="F52" s="282" t="s">
        <v>3521</v>
      </c>
      <c r="G52" s="282">
        <v>9958267799</v>
      </c>
      <c r="H52" s="294"/>
      <c r="I52" s="300"/>
    </row>
    <row r="53" spans="1:10" ht="38.5" customHeight="1" thickBot="1">
      <c r="A53" s="430">
        <v>23</v>
      </c>
      <c r="B53" s="941" t="s">
        <v>439</v>
      </c>
      <c r="C53" s="199" t="s">
        <v>3622</v>
      </c>
      <c r="D53" s="302" t="s">
        <v>3407</v>
      </c>
      <c r="E53" s="303">
        <v>30024</v>
      </c>
      <c r="F53" s="878" t="s">
        <v>377</v>
      </c>
      <c r="G53" s="119" t="s">
        <v>440</v>
      </c>
      <c r="H53" s="304"/>
      <c r="I53" s="790"/>
    </row>
    <row r="54" spans="1:10" ht="35" customHeight="1" thickBot="1">
      <c r="A54" s="427"/>
      <c r="B54" s="291"/>
      <c r="C54" s="292" t="s">
        <v>40</v>
      </c>
      <c r="D54" s="291"/>
      <c r="E54" s="291"/>
      <c r="F54" s="291"/>
      <c r="G54" s="291"/>
      <c r="H54" s="291"/>
      <c r="I54" s="298"/>
      <c r="J54" s="406">
        <v>3</v>
      </c>
    </row>
    <row r="55" spans="1:10" ht="18" thickBot="1">
      <c r="A55" s="428"/>
      <c r="B55" s="293"/>
      <c r="C55" s="293"/>
      <c r="D55" s="293"/>
      <c r="E55" s="293"/>
      <c r="F55" s="293"/>
      <c r="G55" s="293"/>
      <c r="H55" s="293"/>
      <c r="I55" s="299"/>
    </row>
    <row r="56" spans="1:10" s="268" customFormat="1" ht="35" customHeight="1" thickBot="1">
      <c r="A56" s="423" t="s">
        <v>2</v>
      </c>
      <c r="B56" s="272" t="s">
        <v>3</v>
      </c>
      <c r="C56" s="272" t="s">
        <v>4</v>
      </c>
      <c r="D56" s="273" t="s">
        <v>5</v>
      </c>
      <c r="E56" s="272" t="s">
        <v>6</v>
      </c>
      <c r="F56" s="272" t="s">
        <v>360</v>
      </c>
      <c r="G56" s="272" t="s">
        <v>8</v>
      </c>
      <c r="H56" s="272" t="s">
        <v>9</v>
      </c>
      <c r="I56" s="297" t="s">
        <v>10</v>
      </c>
      <c r="J56" s="408"/>
    </row>
    <row r="57" spans="1:10" ht="30" customHeight="1">
      <c r="A57" s="421">
        <v>24</v>
      </c>
      <c r="B57" s="940" t="s">
        <v>366</v>
      </c>
      <c r="C57" s="198" t="s">
        <v>3623</v>
      </c>
      <c r="D57" s="305" t="s">
        <v>3542</v>
      </c>
      <c r="E57" s="306">
        <v>30557</v>
      </c>
      <c r="F57" s="282" t="s">
        <v>17</v>
      </c>
      <c r="G57" s="296">
        <v>9818072967</v>
      </c>
      <c r="H57" s="450"/>
      <c r="I57" s="654"/>
    </row>
    <row r="58" spans="1:10" ht="30" customHeight="1">
      <c r="A58" s="421">
        <v>25</v>
      </c>
      <c r="B58" s="940" t="s">
        <v>437</v>
      </c>
      <c r="C58" s="194" t="s">
        <v>3619</v>
      </c>
      <c r="D58" s="279" t="s">
        <v>3542</v>
      </c>
      <c r="E58" s="280">
        <v>15200</v>
      </c>
      <c r="F58" s="282" t="s">
        <v>13</v>
      </c>
      <c r="G58" s="282">
        <v>9555097097</v>
      </c>
      <c r="H58" s="283" t="s">
        <v>438</v>
      </c>
      <c r="I58" s="176"/>
    </row>
    <row r="59" spans="1:10" ht="30" customHeight="1">
      <c r="A59" s="421">
        <v>26</v>
      </c>
      <c r="B59" s="940" t="s">
        <v>441</v>
      </c>
      <c r="C59" s="194" t="s">
        <v>3620</v>
      </c>
      <c r="D59" s="279" t="s">
        <v>3542</v>
      </c>
      <c r="E59" s="280">
        <v>34381</v>
      </c>
      <c r="F59" s="282" t="s">
        <v>17</v>
      </c>
      <c r="G59" s="1107">
        <v>9818911700</v>
      </c>
      <c r="H59" s="1111"/>
      <c r="I59" s="1128"/>
      <c r="J59" s="422"/>
    </row>
    <row r="60" spans="1:10" ht="30" customHeight="1">
      <c r="A60" s="421">
        <v>27</v>
      </c>
      <c r="B60" s="940" t="s">
        <v>442</v>
      </c>
      <c r="C60" s="194" t="s">
        <v>3621</v>
      </c>
      <c r="D60" s="279" t="s">
        <v>3542</v>
      </c>
      <c r="E60" s="280">
        <v>1789</v>
      </c>
      <c r="F60" s="282" t="s">
        <v>443</v>
      </c>
      <c r="G60" s="1108"/>
      <c r="H60" s="1112"/>
      <c r="I60" s="1129"/>
      <c r="J60" s="422"/>
    </row>
    <row r="61" spans="1:10" ht="30" customHeight="1">
      <c r="A61" s="421">
        <v>28</v>
      </c>
      <c r="B61" s="940" t="s">
        <v>3767</v>
      </c>
      <c r="C61" s="194" t="s">
        <v>3574</v>
      </c>
      <c r="D61" s="279" t="s">
        <v>3766</v>
      </c>
      <c r="E61" s="280">
        <v>97744</v>
      </c>
      <c r="F61" s="282" t="s">
        <v>377</v>
      </c>
      <c r="G61" s="282">
        <v>9899072829</v>
      </c>
      <c r="H61" s="283" t="s">
        <v>428</v>
      </c>
      <c r="I61" s="176"/>
    </row>
    <row r="62" spans="1:10" ht="30" customHeight="1">
      <c r="A62" s="421">
        <v>29</v>
      </c>
      <c r="B62" s="940" t="s">
        <v>444</v>
      </c>
      <c r="C62" s="194" t="s">
        <v>3593</v>
      </c>
      <c r="D62" s="279" t="s">
        <v>3592</v>
      </c>
      <c r="E62" s="280">
        <v>17799</v>
      </c>
      <c r="F62" s="282" t="s">
        <v>3521</v>
      </c>
      <c r="G62" s="282">
        <v>9891785863</v>
      </c>
      <c r="H62" s="283"/>
      <c r="I62" s="176"/>
    </row>
    <row r="63" spans="1:10" ht="30" customHeight="1">
      <c r="A63" s="421">
        <v>30</v>
      </c>
      <c r="B63" s="940" t="s">
        <v>445</v>
      </c>
      <c r="C63" s="194" t="s">
        <v>3624</v>
      </c>
      <c r="D63" s="279" t="s">
        <v>3592</v>
      </c>
      <c r="E63" s="280">
        <v>33275</v>
      </c>
      <c r="F63" s="282" t="s">
        <v>13</v>
      </c>
      <c r="G63" s="282" t="s">
        <v>446</v>
      </c>
      <c r="H63" s="283" t="s">
        <v>365</v>
      </c>
      <c r="I63" s="300"/>
      <c r="J63" s="422"/>
    </row>
    <row r="64" spans="1:10" ht="30" customHeight="1">
      <c r="A64" s="421">
        <v>31</v>
      </c>
      <c r="B64" s="940" t="s">
        <v>447</v>
      </c>
      <c r="C64" s="194" t="s">
        <v>3625</v>
      </c>
      <c r="D64" s="279" t="s">
        <v>3592</v>
      </c>
      <c r="E64" s="280">
        <v>27898</v>
      </c>
      <c r="F64" s="282" t="s">
        <v>17</v>
      </c>
      <c r="G64" s="282">
        <v>9810531098</v>
      </c>
      <c r="H64" s="283" t="s">
        <v>228</v>
      </c>
      <c r="I64" s="300"/>
      <c r="J64" s="422"/>
    </row>
    <row r="65" spans="1:10" ht="30" customHeight="1">
      <c r="A65" s="421">
        <v>32</v>
      </c>
      <c r="B65" s="940" t="s">
        <v>449</v>
      </c>
      <c r="C65" s="194" t="s">
        <v>3630</v>
      </c>
      <c r="D65" s="279" t="s">
        <v>454</v>
      </c>
      <c r="E65" s="280">
        <v>34753</v>
      </c>
      <c r="F65" s="282" t="s">
        <v>450</v>
      </c>
      <c r="G65" s="282" t="s">
        <v>451</v>
      </c>
      <c r="H65" s="283"/>
      <c r="I65" s="300"/>
      <c r="J65" s="422"/>
    </row>
    <row r="66" spans="1:10" ht="30" customHeight="1">
      <c r="A66" s="421">
        <v>33</v>
      </c>
      <c r="B66" s="940" t="s">
        <v>452</v>
      </c>
      <c r="C66" s="194" t="s">
        <v>453</v>
      </c>
      <c r="D66" s="279" t="s">
        <v>454</v>
      </c>
      <c r="E66" s="280">
        <v>46203.839999999997</v>
      </c>
      <c r="F66" s="282" t="s">
        <v>3521</v>
      </c>
      <c r="G66" s="282">
        <v>8178978036</v>
      </c>
      <c r="H66" s="283"/>
      <c r="I66" s="176"/>
    </row>
    <row r="67" spans="1:10" ht="30" customHeight="1">
      <c r="A67" s="421">
        <v>34</v>
      </c>
      <c r="B67" s="940" t="s">
        <v>455</v>
      </c>
      <c r="C67" s="194" t="s">
        <v>456</v>
      </c>
      <c r="D67" s="279" t="s">
        <v>454</v>
      </c>
      <c r="E67" s="280">
        <v>102994</v>
      </c>
      <c r="F67" s="282" t="s">
        <v>377</v>
      </c>
      <c r="G67" s="282">
        <v>9818106673</v>
      </c>
      <c r="H67" s="283"/>
      <c r="I67" s="176"/>
    </row>
    <row r="68" spans="1:10" ht="30" customHeight="1">
      <c r="A68" s="421">
        <v>35</v>
      </c>
      <c r="B68" s="940" t="s">
        <v>457</v>
      </c>
      <c r="C68" s="194" t="s">
        <v>3626</v>
      </c>
      <c r="D68" s="279" t="s">
        <v>454</v>
      </c>
      <c r="E68" s="280">
        <v>59215</v>
      </c>
      <c r="F68" s="282" t="s">
        <v>29</v>
      </c>
      <c r="G68" s="282" t="s">
        <v>458</v>
      </c>
      <c r="H68" s="283" t="s">
        <v>2773</v>
      </c>
      <c r="I68" s="176"/>
    </row>
    <row r="69" spans="1:10" ht="30" customHeight="1">
      <c r="A69" s="421">
        <v>36</v>
      </c>
      <c r="B69" s="940" t="s">
        <v>3535</v>
      </c>
      <c r="C69" s="194" t="s">
        <v>3670</v>
      </c>
      <c r="D69" s="279" t="s">
        <v>3534</v>
      </c>
      <c r="E69" s="280">
        <v>41272</v>
      </c>
      <c r="F69" s="282" t="s">
        <v>3521</v>
      </c>
      <c r="G69" s="282" t="s">
        <v>460</v>
      </c>
      <c r="H69" s="283"/>
      <c r="I69" s="176"/>
    </row>
    <row r="70" spans="1:10" ht="30" customHeight="1">
      <c r="A70" s="421">
        <v>37</v>
      </c>
      <c r="B70" s="940" t="s">
        <v>461</v>
      </c>
      <c r="C70" s="194" t="s">
        <v>3669</v>
      </c>
      <c r="D70" s="279" t="s">
        <v>454</v>
      </c>
      <c r="E70" s="280">
        <v>32624</v>
      </c>
      <c r="F70" s="282" t="s">
        <v>3357</v>
      </c>
      <c r="G70" s="282">
        <v>7838436614</v>
      </c>
      <c r="H70" s="283"/>
      <c r="I70" s="176"/>
    </row>
    <row r="71" spans="1:10" ht="30" customHeight="1">
      <c r="A71" s="421">
        <v>38</v>
      </c>
      <c r="B71" s="940" t="s">
        <v>462</v>
      </c>
      <c r="C71" s="194" t="s">
        <v>3671</v>
      </c>
      <c r="D71" s="279" t="s">
        <v>3629</v>
      </c>
      <c r="E71" s="280">
        <v>38084</v>
      </c>
      <c r="F71" s="282" t="s">
        <v>17</v>
      </c>
      <c r="G71" s="282">
        <v>9899385632</v>
      </c>
      <c r="H71" s="283"/>
      <c r="I71" s="176"/>
    </row>
    <row r="72" spans="1:10" s="6" customFormat="1" ht="30" customHeight="1">
      <c r="A72" s="421">
        <v>39</v>
      </c>
      <c r="B72" s="940" t="s">
        <v>463</v>
      </c>
      <c r="C72" s="194" t="s">
        <v>3628</v>
      </c>
      <c r="D72" s="279" t="s">
        <v>3629</v>
      </c>
      <c r="E72" s="280">
        <v>2453</v>
      </c>
      <c r="F72" s="282" t="s">
        <v>464</v>
      </c>
      <c r="G72" s="289">
        <v>8595481094</v>
      </c>
      <c r="H72" s="283"/>
      <c r="I72" s="300"/>
      <c r="J72" s="409"/>
    </row>
    <row r="73" spans="1:10" s="6" customFormat="1" ht="30" customHeight="1">
      <c r="A73" s="421">
        <v>40</v>
      </c>
      <c r="B73" s="940" t="s">
        <v>3627</v>
      </c>
      <c r="C73" s="194" t="s">
        <v>3668</v>
      </c>
      <c r="D73" s="279" t="s">
        <v>3638</v>
      </c>
      <c r="E73" s="280">
        <v>11708</v>
      </c>
      <c r="F73" s="282" t="s">
        <v>17</v>
      </c>
      <c r="G73" s="289">
        <v>7838315453</v>
      </c>
      <c r="H73" s="283"/>
      <c r="I73" s="300"/>
      <c r="J73" s="409"/>
    </row>
    <row r="74" spans="1:10" ht="30" customHeight="1">
      <c r="A74" s="421">
        <v>41</v>
      </c>
      <c r="B74" s="940" t="s">
        <v>3577</v>
      </c>
      <c r="C74" s="194" t="s">
        <v>3576</v>
      </c>
      <c r="D74" s="279" t="s">
        <v>3575</v>
      </c>
      <c r="E74" s="280">
        <v>20615</v>
      </c>
      <c r="F74" s="282" t="s">
        <v>3533</v>
      </c>
      <c r="G74" s="282">
        <v>8877702098</v>
      </c>
      <c r="H74" s="283"/>
      <c r="I74" s="176"/>
    </row>
    <row r="75" spans="1:10" ht="30" customHeight="1">
      <c r="A75" s="421">
        <v>42</v>
      </c>
      <c r="B75" s="940" t="s">
        <v>468</v>
      </c>
      <c r="C75" s="194" t="s">
        <v>3679</v>
      </c>
      <c r="D75" s="279" t="s">
        <v>3575</v>
      </c>
      <c r="E75" s="280">
        <v>40316</v>
      </c>
      <c r="F75" s="282" t="s">
        <v>17</v>
      </c>
      <c r="G75" s="282">
        <v>9990626932</v>
      </c>
      <c r="H75" s="283"/>
      <c r="I75" s="176"/>
    </row>
    <row r="76" spans="1:10" ht="30" customHeight="1">
      <c r="A76" s="421">
        <v>43</v>
      </c>
      <c r="B76" s="940" t="s">
        <v>3678</v>
      </c>
      <c r="C76" s="194" t="s">
        <v>3677</v>
      </c>
      <c r="D76" s="279" t="s">
        <v>3575</v>
      </c>
      <c r="E76" s="280">
        <v>12563</v>
      </c>
      <c r="F76" s="282" t="s">
        <v>17</v>
      </c>
      <c r="G76" s="282">
        <v>9990621444</v>
      </c>
      <c r="H76" s="283"/>
      <c r="I76" s="176"/>
    </row>
    <row r="77" spans="1:10" s="6" customFormat="1" ht="30" customHeight="1">
      <c r="A77" s="421">
        <v>44</v>
      </c>
      <c r="B77" s="942" t="s">
        <v>469</v>
      </c>
      <c r="C77" s="596" t="s">
        <v>470</v>
      </c>
      <c r="D77" s="597" t="s">
        <v>471</v>
      </c>
      <c r="E77" s="598">
        <v>22117</v>
      </c>
      <c r="F77" s="461" t="s">
        <v>17</v>
      </c>
      <c r="G77" s="461">
        <v>8851610505</v>
      </c>
      <c r="H77" s="295"/>
      <c r="I77" s="37"/>
      <c r="J77" s="409"/>
    </row>
    <row r="78" spans="1:10" ht="30" customHeight="1">
      <c r="A78" s="421">
        <v>45</v>
      </c>
      <c r="B78" s="940" t="s">
        <v>3634</v>
      </c>
      <c r="C78" s="194" t="s">
        <v>3635</v>
      </c>
      <c r="D78" s="279" t="s">
        <v>3561</v>
      </c>
      <c r="E78" s="280">
        <v>27800</v>
      </c>
      <c r="F78" s="282" t="s">
        <v>24</v>
      </c>
      <c r="G78" s="289">
        <v>9899537733</v>
      </c>
      <c r="H78" s="283" t="s">
        <v>2773</v>
      </c>
      <c r="I78" s="300"/>
      <c r="J78" s="422"/>
    </row>
    <row r="79" spans="1:10" ht="30" customHeight="1">
      <c r="A79" s="421">
        <v>46</v>
      </c>
      <c r="B79" s="940" t="s">
        <v>3762</v>
      </c>
      <c r="C79" s="194" t="s">
        <v>3631</v>
      </c>
      <c r="D79" s="279" t="s">
        <v>3561</v>
      </c>
      <c r="E79" s="280">
        <v>12600</v>
      </c>
      <c r="F79" s="282" t="s">
        <v>24</v>
      </c>
      <c r="G79" s="289"/>
      <c r="H79" s="283" t="s">
        <v>2773</v>
      </c>
      <c r="I79" s="300"/>
      <c r="J79" s="422"/>
    </row>
    <row r="80" spans="1:10" ht="30" customHeight="1">
      <c r="A80" s="421">
        <v>47</v>
      </c>
      <c r="B80" s="940" t="s">
        <v>3633</v>
      </c>
      <c r="C80" s="194" t="s">
        <v>3632</v>
      </c>
      <c r="D80" s="279" t="s">
        <v>3561</v>
      </c>
      <c r="E80" s="280">
        <v>12400</v>
      </c>
      <c r="F80" s="282" t="s">
        <v>24</v>
      </c>
      <c r="G80" s="289"/>
      <c r="H80" s="283" t="s">
        <v>2773</v>
      </c>
      <c r="I80" s="300"/>
      <c r="J80" s="422"/>
    </row>
    <row r="81" spans="1:10" ht="30" customHeight="1">
      <c r="A81" s="421">
        <v>48</v>
      </c>
      <c r="B81" s="940" t="s">
        <v>472</v>
      </c>
      <c r="C81" s="194" t="s">
        <v>3562</v>
      </c>
      <c r="D81" s="279" t="s">
        <v>3561</v>
      </c>
      <c r="E81" s="280">
        <v>23130</v>
      </c>
      <c r="F81" s="926" t="s">
        <v>3522</v>
      </c>
      <c r="G81" s="282" t="s">
        <v>473</v>
      </c>
      <c r="H81" s="283"/>
      <c r="I81" s="300"/>
      <c r="J81" s="422"/>
    </row>
    <row r="82" spans="1:10" ht="30" customHeight="1">
      <c r="A82" s="421">
        <v>49</v>
      </c>
      <c r="B82" s="940" t="s">
        <v>3687</v>
      </c>
      <c r="C82" s="194" t="s">
        <v>3685</v>
      </c>
      <c r="D82" s="279" t="s">
        <v>3682</v>
      </c>
      <c r="E82" s="280">
        <v>85301</v>
      </c>
      <c r="F82" s="926" t="s">
        <v>69</v>
      </c>
      <c r="G82" s="282">
        <v>7011495719</v>
      </c>
      <c r="H82" s="283" t="s">
        <v>3686</v>
      </c>
      <c r="I82" s="1136" t="s">
        <v>3688</v>
      </c>
      <c r="J82" s="422"/>
    </row>
    <row r="83" spans="1:10" ht="30" customHeight="1">
      <c r="A83" s="421">
        <v>50</v>
      </c>
      <c r="B83" s="940" t="s">
        <v>3683</v>
      </c>
      <c r="C83" s="194" t="s">
        <v>3684</v>
      </c>
      <c r="D83" s="279" t="s">
        <v>3682</v>
      </c>
      <c r="E83" s="280">
        <v>59697</v>
      </c>
      <c r="F83" s="926" t="s">
        <v>69</v>
      </c>
      <c r="G83" s="282">
        <v>7042040070</v>
      </c>
      <c r="H83" s="283" t="s">
        <v>3686</v>
      </c>
      <c r="I83" s="1137"/>
      <c r="J83" s="422"/>
    </row>
    <row r="84" spans="1:10" ht="30" customHeight="1">
      <c r="A84" s="421">
        <v>51</v>
      </c>
      <c r="B84" s="940" t="s">
        <v>3680</v>
      </c>
      <c r="C84" s="194" t="s">
        <v>3681</v>
      </c>
      <c r="D84" s="279" t="s">
        <v>3563</v>
      </c>
      <c r="E84" s="280">
        <v>36040</v>
      </c>
      <c r="F84" s="926" t="s">
        <v>69</v>
      </c>
      <c r="G84" s="282">
        <v>9711360885</v>
      </c>
      <c r="H84" s="283" t="s">
        <v>3686</v>
      </c>
      <c r="I84" s="300"/>
      <c r="J84" s="422"/>
    </row>
    <row r="85" spans="1:10" ht="30" customHeight="1">
      <c r="A85" s="421">
        <v>52</v>
      </c>
      <c r="B85" s="940" t="s">
        <v>474</v>
      </c>
      <c r="C85" s="194" t="s">
        <v>3564</v>
      </c>
      <c r="D85" s="279" t="s">
        <v>3563</v>
      </c>
      <c r="E85" s="280">
        <v>33982</v>
      </c>
      <c r="F85" s="926" t="s">
        <v>344</v>
      </c>
      <c r="G85" s="282">
        <v>9873331930</v>
      </c>
      <c r="H85" s="283" t="s">
        <v>2773</v>
      </c>
      <c r="I85" s="176"/>
    </row>
    <row r="86" spans="1:10" ht="30" customHeight="1" thickBot="1">
      <c r="A86" s="430">
        <v>53</v>
      </c>
      <c r="B86" s="941" t="s">
        <v>1338</v>
      </c>
      <c r="C86" s="199" t="s">
        <v>3591</v>
      </c>
      <c r="D86" s="302" t="s">
        <v>3563</v>
      </c>
      <c r="E86" s="303">
        <v>8532.4500000000007</v>
      </c>
      <c r="F86" s="878" t="s">
        <v>344</v>
      </c>
      <c r="G86" s="119">
        <v>8799714234</v>
      </c>
      <c r="H86" s="304" t="s">
        <v>2773</v>
      </c>
      <c r="I86" s="790"/>
    </row>
    <row r="87" spans="1:10" ht="30" customHeight="1" thickBot="1">
      <c r="A87" s="427"/>
      <c r="B87" s="291"/>
      <c r="C87" s="292" t="s">
        <v>59</v>
      </c>
      <c r="D87" s="291"/>
      <c r="E87" s="291"/>
      <c r="F87" s="291"/>
      <c r="G87" s="291"/>
      <c r="H87" s="291"/>
      <c r="I87" s="298"/>
      <c r="J87" s="406">
        <v>4</v>
      </c>
    </row>
    <row r="88" spans="1:10" ht="16" thickBot="1">
      <c r="A88" s="429"/>
      <c r="B88" s="293"/>
      <c r="C88" s="293"/>
      <c r="D88" s="293"/>
      <c r="E88" s="293"/>
      <c r="F88" s="293"/>
      <c r="G88" s="293"/>
      <c r="H88" s="293"/>
      <c r="I88" s="299"/>
    </row>
    <row r="89" spans="1:10" ht="25" customHeight="1" thickBot="1">
      <c r="A89" s="423" t="s">
        <v>2</v>
      </c>
      <c r="B89" s="272" t="s">
        <v>3</v>
      </c>
      <c r="C89" s="272" t="s">
        <v>4</v>
      </c>
      <c r="D89" s="273" t="s">
        <v>5</v>
      </c>
      <c r="E89" s="272" t="s">
        <v>6</v>
      </c>
      <c r="F89" s="273" t="s">
        <v>360</v>
      </c>
      <c r="G89" s="272" t="s">
        <v>8</v>
      </c>
      <c r="H89" s="272" t="s">
        <v>9</v>
      </c>
      <c r="I89" s="297" t="s">
        <v>10</v>
      </c>
    </row>
    <row r="90" spans="1:10" ht="32" customHeight="1">
      <c r="A90" s="424">
        <v>1</v>
      </c>
      <c r="B90" s="982" t="s">
        <v>475</v>
      </c>
      <c r="C90" s="274" t="s">
        <v>3718</v>
      </c>
      <c r="D90" s="275" t="s">
        <v>3646</v>
      </c>
      <c r="E90" s="276">
        <v>51298</v>
      </c>
      <c r="F90" s="983" t="s">
        <v>2836</v>
      </c>
      <c r="G90" s="1121">
        <v>9811944477</v>
      </c>
      <c r="H90" s="1113" t="s">
        <v>2773</v>
      </c>
      <c r="I90" s="1130"/>
      <c r="J90" s="422"/>
    </row>
    <row r="91" spans="1:10" ht="32" customHeight="1">
      <c r="A91" s="421">
        <v>2</v>
      </c>
      <c r="B91" s="432" t="s">
        <v>2116</v>
      </c>
      <c r="C91" s="194" t="s">
        <v>3816</v>
      </c>
      <c r="D91" s="279" t="s">
        <v>3796</v>
      </c>
      <c r="E91" s="280">
        <v>1274</v>
      </c>
      <c r="F91" s="296" t="s">
        <v>13</v>
      </c>
      <c r="G91" s="1108"/>
      <c r="H91" s="1114"/>
      <c r="I91" s="1129"/>
      <c r="J91" s="422"/>
    </row>
    <row r="92" spans="1:10" ht="32" customHeight="1">
      <c r="A92" s="421">
        <v>3</v>
      </c>
      <c r="B92" s="432" t="s">
        <v>476</v>
      </c>
      <c r="C92" s="194" t="s">
        <v>3709</v>
      </c>
      <c r="D92" s="279" t="s">
        <v>941</v>
      </c>
      <c r="E92" s="280">
        <v>32345</v>
      </c>
      <c r="F92" s="282" t="s">
        <v>17</v>
      </c>
      <c r="G92" s="282">
        <v>9069192600</v>
      </c>
      <c r="H92" s="283">
        <v>9910987595</v>
      </c>
      <c r="I92" s="993">
        <v>7838492501</v>
      </c>
      <c r="J92" s="422"/>
    </row>
    <row r="93" spans="1:10" ht="32" customHeight="1">
      <c r="A93" s="421">
        <v>4</v>
      </c>
      <c r="B93" s="432" t="s">
        <v>477</v>
      </c>
      <c r="C93" s="194" t="s">
        <v>3704</v>
      </c>
      <c r="D93" s="279" t="s">
        <v>3705</v>
      </c>
      <c r="E93" s="280">
        <v>70992</v>
      </c>
      <c r="F93" s="282" t="s">
        <v>17</v>
      </c>
      <c r="G93" s="282" t="s">
        <v>478</v>
      </c>
      <c r="H93" s="294"/>
      <c r="I93" s="300"/>
      <c r="J93" s="422"/>
    </row>
    <row r="94" spans="1:10" ht="32" customHeight="1">
      <c r="A94" s="421">
        <v>5</v>
      </c>
      <c r="B94" s="432" t="s">
        <v>3724</v>
      </c>
      <c r="C94" s="194" t="s">
        <v>3700</v>
      </c>
      <c r="D94" s="279" t="s">
        <v>3699</v>
      </c>
      <c r="E94" s="280">
        <v>26225</v>
      </c>
      <c r="F94" s="281" t="s">
        <v>69</v>
      </c>
      <c r="G94" s="282">
        <v>9015715854</v>
      </c>
      <c r="H94" s="283"/>
      <c r="I94" s="176"/>
      <c r="J94" s="422"/>
    </row>
    <row r="95" spans="1:10" ht="32" customHeight="1">
      <c r="A95" s="421">
        <v>6</v>
      </c>
      <c r="B95" s="432" t="s">
        <v>3723</v>
      </c>
      <c r="C95" s="194" t="s">
        <v>3721</v>
      </c>
      <c r="D95" s="279" t="s">
        <v>3720</v>
      </c>
      <c r="E95" s="280">
        <v>72239</v>
      </c>
      <c r="F95" s="281" t="s">
        <v>13</v>
      </c>
      <c r="G95" s="282">
        <v>9999600552</v>
      </c>
      <c r="H95" s="283"/>
      <c r="I95" s="176"/>
      <c r="J95" s="422"/>
    </row>
    <row r="96" spans="1:10" ht="32" customHeight="1">
      <c r="A96" s="421">
        <v>7</v>
      </c>
      <c r="B96" s="432" t="s">
        <v>479</v>
      </c>
      <c r="C96" s="194" t="s">
        <v>3698</v>
      </c>
      <c r="D96" s="279" t="s">
        <v>3699</v>
      </c>
      <c r="E96" s="280">
        <v>41893</v>
      </c>
      <c r="F96" s="282" t="s">
        <v>13</v>
      </c>
      <c r="G96" s="289"/>
      <c r="H96" s="294" t="s">
        <v>365</v>
      </c>
      <c r="I96" s="300"/>
      <c r="J96" s="422"/>
    </row>
    <row r="97" spans="1:10" ht="32" customHeight="1">
      <c r="A97" s="421">
        <v>8</v>
      </c>
      <c r="B97" s="432" t="s">
        <v>486</v>
      </c>
      <c r="C97" s="194" t="s">
        <v>3714</v>
      </c>
      <c r="D97" s="279" t="s">
        <v>3713</v>
      </c>
      <c r="E97" s="280">
        <v>30489</v>
      </c>
      <c r="F97" s="282" t="s">
        <v>3357</v>
      </c>
      <c r="G97" s="289">
        <v>9560056736</v>
      </c>
      <c r="H97" s="294" t="s">
        <v>140</v>
      </c>
      <c r="I97" s="300"/>
      <c r="J97" s="422"/>
    </row>
    <row r="98" spans="1:10" ht="32" customHeight="1">
      <c r="A98" s="421">
        <v>9</v>
      </c>
      <c r="B98" s="432" t="s">
        <v>489</v>
      </c>
      <c r="C98" s="194" t="s">
        <v>3775</v>
      </c>
      <c r="D98" s="279" t="s">
        <v>3745</v>
      </c>
      <c r="E98" s="280">
        <v>39069</v>
      </c>
      <c r="F98" s="282" t="s">
        <v>13</v>
      </c>
      <c r="G98" s="289">
        <v>9310112322</v>
      </c>
      <c r="H98" s="294"/>
      <c r="I98" s="300"/>
      <c r="J98" s="422"/>
    </row>
    <row r="99" spans="1:10" ht="32" customHeight="1">
      <c r="A99" s="421">
        <v>10</v>
      </c>
      <c r="B99" s="432" t="s">
        <v>491</v>
      </c>
      <c r="C99" s="194" t="s">
        <v>3744</v>
      </c>
      <c r="D99" s="279" t="s">
        <v>3697</v>
      </c>
      <c r="E99" s="280">
        <v>29071</v>
      </c>
      <c r="F99" s="282" t="s">
        <v>13</v>
      </c>
      <c r="G99" s="289"/>
      <c r="H99" s="294" t="s">
        <v>365</v>
      </c>
      <c r="I99" s="300"/>
      <c r="J99" s="422"/>
    </row>
    <row r="100" spans="1:10" ht="32" customHeight="1">
      <c r="A100" s="421">
        <v>11</v>
      </c>
      <c r="B100" s="432" t="s">
        <v>492</v>
      </c>
      <c r="C100" s="194" t="s">
        <v>3696</v>
      </c>
      <c r="D100" s="279" t="s">
        <v>3697</v>
      </c>
      <c r="E100" s="280">
        <v>49929</v>
      </c>
      <c r="F100" s="282" t="s">
        <v>69</v>
      </c>
      <c r="G100" s="282"/>
      <c r="H100" s="283" t="s">
        <v>365</v>
      </c>
      <c r="I100" s="300"/>
      <c r="J100" s="422"/>
    </row>
    <row r="101" spans="1:10" ht="32" customHeight="1">
      <c r="A101" s="421">
        <v>12</v>
      </c>
      <c r="B101" s="432" t="s">
        <v>493</v>
      </c>
      <c r="C101" s="194" t="s">
        <v>3776</v>
      </c>
      <c r="D101" s="279" t="s">
        <v>3745</v>
      </c>
      <c r="E101" s="280">
        <v>40803</v>
      </c>
      <c r="F101" s="282" t="s">
        <v>17</v>
      </c>
      <c r="G101" s="282"/>
      <c r="H101" s="283" t="s">
        <v>365</v>
      </c>
      <c r="I101" s="300"/>
      <c r="J101" s="422"/>
    </row>
    <row r="102" spans="1:10" ht="32" customHeight="1">
      <c r="A102" s="421">
        <v>13</v>
      </c>
      <c r="B102" s="432" t="s">
        <v>495</v>
      </c>
      <c r="C102" s="194" t="s">
        <v>3746</v>
      </c>
      <c r="D102" s="279" t="s">
        <v>3745</v>
      </c>
      <c r="E102" s="280">
        <v>30121</v>
      </c>
      <c r="F102" s="282" t="s">
        <v>69</v>
      </c>
      <c r="G102" s="289" t="s">
        <v>496</v>
      </c>
      <c r="H102" s="294"/>
      <c r="I102" s="300"/>
      <c r="J102" s="422"/>
    </row>
    <row r="103" spans="1:10" ht="32" customHeight="1">
      <c r="A103" s="421">
        <v>14</v>
      </c>
      <c r="B103" s="432" t="s">
        <v>497</v>
      </c>
      <c r="C103" s="194" t="s">
        <v>3772</v>
      </c>
      <c r="D103" s="279" t="s">
        <v>3745</v>
      </c>
      <c r="E103" s="280">
        <v>19879</v>
      </c>
      <c r="F103" s="282" t="s">
        <v>17</v>
      </c>
      <c r="G103" s="289" t="s">
        <v>498</v>
      </c>
      <c r="H103" s="294"/>
      <c r="I103" s="300"/>
      <c r="J103" s="422"/>
    </row>
    <row r="104" spans="1:10" ht="32" customHeight="1">
      <c r="A104" s="421">
        <v>15</v>
      </c>
      <c r="B104" s="432" t="s">
        <v>448</v>
      </c>
      <c r="C104" s="194" t="s">
        <v>3778</v>
      </c>
      <c r="D104" s="279" t="s">
        <v>502</v>
      </c>
      <c r="E104" s="280">
        <v>14824</v>
      </c>
      <c r="F104" s="282" t="s">
        <v>13</v>
      </c>
      <c r="G104" s="289">
        <v>7838943322</v>
      </c>
      <c r="H104" s="294"/>
      <c r="I104" s="300"/>
      <c r="J104" s="422"/>
    </row>
    <row r="105" spans="1:10" s="6" customFormat="1" ht="32" customHeight="1">
      <c r="A105" s="421">
        <v>16</v>
      </c>
      <c r="B105" s="432" t="s">
        <v>3842</v>
      </c>
      <c r="C105" s="396" t="s">
        <v>501</v>
      </c>
      <c r="D105" s="397" t="s">
        <v>502</v>
      </c>
      <c r="E105" s="280">
        <v>83814</v>
      </c>
      <c r="F105" s="282" t="s">
        <v>13</v>
      </c>
      <c r="G105" s="282">
        <v>9811276266</v>
      </c>
      <c r="H105" s="760"/>
      <c r="I105" s="873"/>
      <c r="J105" s="407"/>
    </row>
    <row r="106" spans="1:10" s="6" customFormat="1" ht="32" customHeight="1">
      <c r="A106" s="421">
        <v>17</v>
      </c>
      <c r="B106" s="432" t="s">
        <v>3794</v>
      </c>
      <c r="C106" s="194" t="s">
        <v>3795</v>
      </c>
      <c r="D106" s="279" t="s">
        <v>3793</v>
      </c>
      <c r="E106" s="280">
        <v>17530</v>
      </c>
      <c r="F106" s="282" t="s">
        <v>17</v>
      </c>
      <c r="G106" s="576">
        <v>5109</v>
      </c>
      <c r="H106" s="871" t="s">
        <v>3792</v>
      </c>
      <c r="I106" s="873"/>
      <c r="J106" s="409"/>
    </row>
    <row r="107" spans="1:10" ht="32" customHeight="1">
      <c r="A107" s="421">
        <v>18</v>
      </c>
      <c r="B107" s="432" t="s">
        <v>505</v>
      </c>
      <c r="C107" s="194" t="s">
        <v>2090</v>
      </c>
      <c r="D107" s="279" t="s">
        <v>512</v>
      </c>
      <c r="E107" s="280">
        <v>28305</v>
      </c>
      <c r="F107" s="870" t="s">
        <v>2836</v>
      </c>
      <c r="G107" s="289">
        <v>9312934364</v>
      </c>
      <c r="H107" s="871" t="s">
        <v>2776</v>
      </c>
      <c r="I107" s="872"/>
      <c r="J107" s="422"/>
    </row>
    <row r="108" spans="1:10" ht="32" customHeight="1">
      <c r="A108" s="421">
        <v>19</v>
      </c>
      <c r="B108" s="432" t="s">
        <v>506</v>
      </c>
      <c r="C108" s="194" t="s">
        <v>3667</v>
      </c>
      <c r="D108" s="279" t="s">
        <v>512</v>
      </c>
      <c r="E108" s="280">
        <v>26758</v>
      </c>
      <c r="F108" s="870" t="s">
        <v>2836</v>
      </c>
      <c r="G108" s="289">
        <v>9711166340</v>
      </c>
      <c r="H108" s="871" t="s">
        <v>2776</v>
      </c>
      <c r="I108" s="872"/>
      <c r="J108" s="422"/>
    </row>
    <row r="109" spans="1:10" ht="32" customHeight="1">
      <c r="A109" s="421">
        <v>20</v>
      </c>
      <c r="B109" s="432" t="s">
        <v>3594</v>
      </c>
      <c r="C109" s="194" t="s">
        <v>3676</v>
      </c>
      <c r="D109" s="279" t="s">
        <v>512</v>
      </c>
      <c r="E109" s="280">
        <v>10666</v>
      </c>
      <c r="F109" s="870" t="s">
        <v>2836</v>
      </c>
      <c r="G109" s="289">
        <v>9999665346</v>
      </c>
      <c r="H109" s="871" t="s">
        <v>2776</v>
      </c>
      <c r="I109" s="872"/>
      <c r="J109" s="422"/>
    </row>
    <row r="110" spans="1:10" ht="32" customHeight="1">
      <c r="A110" s="421">
        <v>21</v>
      </c>
      <c r="B110" s="432" t="s">
        <v>507</v>
      </c>
      <c r="C110" s="194" t="s">
        <v>3672</v>
      </c>
      <c r="D110" s="279" t="s">
        <v>3673</v>
      </c>
      <c r="E110" s="280">
        <v>2511</v>
      </c>
      <c r="F110" s="870" t="s">
        <v>76</v>
      </c>
      <c r="G110" s="289">
        <v>8527710337</v>
      </c>
      <c r="H110" s="871" t="s">
        <v>2775</v>
      </c>
      <c r="I110" s="872"/>
      <c r="J110" s="422"/>
    </row>
    <row r="111" spans="1:10" s="6" customFormat="1" ht="32" customHeight="1">
      <c r="A111" s="421">
        <v>22</v>
      </c>
      <c r="B111" s="943" t="s">
        <v>2109</v>
      </c>
      <c r="C111" s="596" t="s">
        <v>2108</v>
      </c>
      <c r="D111" s="758" t="s">
        <v>2107</v>
      </c>
      <c r="E111" s="759">
        <v>24998</v>
      </c>
      <c r="F111" s="756" t="s">
        <v>17</v>
      </c>
      <c r="G111" s="756">
        <v>9971671695</v>
      </c>
      <c r="H111" s="855"/>
      <c r="I111" s="854"/>
      <c r="J111" s="409"/>
    </row>
    <row r="112" spans="1:10" ht="32" customHeight="1">
      <c r="A112" s="421">
        <v>23</v>
      </c>
      <c r="B112" s="432" t="s">
        <v>508</v>
      </c>
      <c r="C112" s="194" t="s">
        <v>3581</v>
      </c>
      <c r="D112" s="305" t="s">
        <v>3580</v>
      </c>
      <c r="E112" s="306">
        <v>72890</v>
      </c>
      <c r="F112" s="296" t="s">
        <v>17</v>
      </c>
      <c r="G112" s="296">
        <v>9313787778</v>
      </c>
      <c r="H112" s="307"/>
      <c r="I112" s="453"/>
      <c r="J112" s="422"/>
    </row>
    <row r="113" spans="1:10" ht="32" customHeight="1">
      <c r="A113" s="421">
        <v>24</v>
      </c>
      <c r="B113" s="432" t="s">
        <v>3789</v>
      </c>
      <c r="C113" s="194" t="s">
        <v>3790</v>
      </c>
      <c r="D113" s="305" t="s">
        <v>3788</v>
      </c>
      <c r="E113" s="306">
        <v>230370</v>
      </c>
      <c r="F113" s="296" t="s">
        <v>3791</v>
      </c>
      <c r="G113" s="577"/>
      <c r="H113" s="307" t="s">
        <v>3792</v>
      </c>
      <c r="I113" s="453"/>
      <c r="J113" s="422"/>
    </row>
    <row r="114" spans="1:10" ht="32" customHeight="1">
      <c r="A114" s="421">
        <v>25</v>
      </c>
      <c r="B114" s="432" t="s">
        <v>3786</v>
      </c>
      <c r="C114" s="194" t="s">
        <v>3785</v>
      </c>
      <c r="D114" s="279" t="s">
        <v>3784</v>
      </c>
      <c r="E114" s="280">
        <v>178909</v>
      </c>
      <c r="F114" s="870" t="s">
        <v>344</v>
      </c>
      <c r="G114" s="289">
        <v>9015670552</v>
      </c>
      <c r="H114" s="871"/>
      <c r="I114" s="872"/>
      <c r="J114" s="422"/>
    </row>
    <row r="115" spans="1:10" ht="32" customHeight="1">
      <c r="A115" s="421">
        <v>26</v>
      </c>
      <c r="B115" s="432" t="s">
        <v>509</v>
      </c>
      <c r="C115" s="194" t="s">
        <v>3797</v>
      </c>
      <c r="D115" s="279" t="s">
        <v>3655</v>
      </c>
      <c r="E115" s="280">
        <v>1274</v>
      </c>
      <c r="F115" s="870" t="s">
        <v>69</v>
      </c>
      <c r="G115" s="289">
        <v>9013546725</v>
      </c>
      <c r="H115" s="871"/>
      <c r="I115" s="872"/>
      <c r="J115" s="422"/>
    </row>
    <row r="116" spans="1:10" ht="32" customHeight="1">
      <c r="A116" s="421">
        <v>27</v>
      </c>
      <c r="B116" s="432" t="s">
        <v>510</v>
      </c>
      <c r="C116" s="194" t="s">
        <v>511</v>
      </c>
      <c r="D116" s="305" t="s">
        <v>512</v>
      </c>
      <c r="E116" s="306">
        <v>121918</v>
      </c>
      <c r="F116" s="296" t="s">
        <v>13</v>
      </c>
      <c r="G116" s="576"/>
      <c r="H116" s="307" t="s">
        <v>2773</v>
      </c>
      <c r="I116" s="453"/>
    </row>
    <row r="117" spans="1:10" ht="32" customHeight="1" thickBot="1">
      <c r="A117" s="430">
        <v>28</v>
      </c>
      <c r="B117" s="984" t="s">
        <v>513</v>
      </c>
      <c r="C117" s="199" t="s">
        <v>3801</v>
      </c>
      <c r="D117" s="302" t="s">
        <v>512</v>
      </c>
      <c r="E117" s="303">
        <v>24342</v>
      </c>
      <c r="F117" s="985" t="s">
        <v>29</v>
      </c>
      <c r="G117" s="482" t="s">
        <v>514</v>
      </c>
      <c r="H117" s="986"/>
      <c r="I117" s="987"/>
      <c r="J117" s="422"/>
    </row>
    <row r="118" spans="1:10" ht="30" customHeight="1" thickBot="1">
      <c r="A118" s="427"/>
      <c r="B118" s="291"/>
      <c r="C118" s="292" t="s">
        <v>59</v>
      </c>
      <c r="D118" s="291"/>
      <c r="E118" s="291"/>
      <c r="F118" s="291"/>
      <c r="G118" s="291"/>
      <c r="H118" s="291"/>
      <c r="I118" s="298"/>
      <c r="J118" s="406">
        <v>5</v>
      </c>
    </row>
    <row r="119" spans="1:10" ht="10" customHeight="1" thickBot="1">
      <c r="A119" s="429"/>
      <c r="B119" s="293"/>
      <c r="C119" s="293"/>
      <c r="D119" s="293"/>
      <c r="E119" s="293"/>
      <c r="F119" s="293"/>
      <c r="G119" s="293"/>
      <c r="H119" s="293"/>
      <c r="I119" s="299"/>
    </row>
    <row r="120" spans="1:10" ht="25" customHeight="1" thickBot="1">
      <c r="A120" s="423" t="s">
        <v>2</v>
      </c>
      <c r="B120" s="272" t="s">
        <v>3</v>
      </c>
      <c r="C120" s="272" t="s">
        <v>4</v>
      </c>
      <c r="D120" s="273" t="s">
        <v>5</v>
      </c>
      <c r="E120" s="272" t="s">
        <v>6</v>
      </c>
      <c r="F120" s="273" t="s">
        <v>360</v>
      </c>
      <c r="G120" s="272" t="s">
        <v>8</v>
      </c>
      <c r="H120" s="272" t="s">
        <v>9</v>
      </c>
      <c r="I120" s="297" t="s">
        <v>10</v>
      </c>
    </row>
    <row r="121" spans="1:10" ht="31" customHeight="1">
      <c r="A121" s="421">
        <v>29</v>
      </c>
      <c r="B121" s="432" t="s">
        <v>3804</v>
      </c>
      <c r="C121" s="194" t="s">
        <v>3803</v>
      </c>
      <c r="D121" s="279" t="s">
        <v>3802</v>
      </c>
      <c r="E121" s="308">
        <v>109827</v>
      </c>
      <c r="F121" s="870" t="s">
        <v>2836</v>
      </c>
      <c r="G121" s="576"/>
      <c r="H121" s="283">
        <v>9717826170</v>
      </c>
      <c r="I121" s="300"/>
      <c r="J121" s="422"/>
    </row>
    <row r="122" spans="1:10" ht="31" customHeight="1">
      <c r="A122" s="421">
        <v>30</v>
      </c>
      <c r="B122" s="432" t="s">
        <v>517</v>
      </c>
      <c r="C122" s="194" t="s">
        <v>2112</v>
      </c>
      <c r="D122" s="279" t="s">
        <v>3796</v>
      </c>
      <c r="E122" s="308">
        <v>37631</v>
      </c>
      <c r="F122" s="870" t="s">
        <v>3521</v>
      </c>
      <c r="G122" s="576">
        <v>5</v>
      </c>
      <c r="H122" s="283"/>
      <c r="I122" s="300"/>
      <c r="J122" s="422"/>
    </row>
    <row r="123" spans="1:10" s="398" customFormat="1" ht="31" customHeight="1">
      <c r="A123" s="421">
        <v>31</v>
      </c>
      <c r="B123" s="432" t="s">
        <v>518</v>
      </c>
      <c r="C123" s="396" t="s">
        <v>3815</v>
      </c>
      <c r="D123" s="418" t="s">
        <v>2101</v>
      </c>
      <c r="E123" s="399">
        <v>39446</v>
      </c>
      <c r="F123" s="410" t="s">
        <v>17</v>
      </c>
      <c r="G123" s="990">
        <v>8</v>
      </c>
      <c r="H123" s="436" t="s">
        <v>365</v>
      </c>
      <c r="I123" s="300"/>
      <c r="J123" s="420"/>
    </row>
    <row r="124" spans="1:10" s="398" customFormat="1" ht="31" customHeight="1">
      <c r="A124" s="421">
        <v>32</v>
      </c>
      <c r="B124" s="432" t="s">
        <v>520</v>
      </c>
      <c r="C124" s="396" t="s">
        <v>2102</v>
      </c>
      <c r="D124" s="418" t="s">
        <v>2101</v>
      </c>
      <c r="E124" s="399">
        <v>83283</v>
      </c>
      <c r="F124" s="410" t="s">
        <v>29</v>
      </c>
      <c r="G124" s="419" t="s">
        <v>521</v>
      </c>
      <c r="H124" s="436"/>
      <c r="I124" s="300"/>
      <c r="J124" s="420"/>
    </row>
    <row r="125" spans="1:10" s="398" customFormat="1" ht="31" customHeight="1">
      <c r="A125" s="421">
        <v>33</v>
      </c>
      <c r="B125" s="432" t="s">
        <v>522</v>
      </c>
      <c r="C125" s="396" t="s">
        <v>3824</v>
      </c>
      <c r="D125" s="418" t="s">
        <v>3764</v>
      </c>
      <c r="E125" s="399">
        <v>64220</v>
      </c>
      <c r="F125" s="410" t="s">
        <v>69</v>
      </c>
      <c r="G125" s="419">
        <v>9810221035</v>
      </c>
      <c r="H125" s="436"/>
      <c r="I125" s="300"/>
      <c r="J125" s="420"/>
    </row>
    <row r="126" spans="1:10" s="398" customFormat="1" ht="31" customHeight="1">
      <c r="A126" s="421">
        <v>34</v>
      </c>
      <c r="B126" s="432" t="s">
        <v>523</v>
      </c>
      <c r="C126" s="396" t="s">
        <v>3798</v>
      </c>
      <c r="D126" s="418" t="s">
        <v>3764</v>
      </c>
      <c r="E126" s="399">
        <v>16130</v>
      </c>
      <c r="F126" s="410" t="s">
        <v>223</v>
      </c>
      <c r="G126" s="419">
        <v>9958489199</v>
      </c>
      <c r="H126" s="436"/>
      <c r="I126" s="300"/>
      <c r="J126" s="420"/>
    </row>
    <row r="127" spans="1:10" s="398" customFormat="1" ht="31" customHeight="1">
      <c r="A127" s="421">
        <v>35</v>
      </c>
      <c r="B127" s="432" t="s">
        <v>524</v>
      </c>
      <c r="C127" s="396" t="s">
        <v>3763</v>
      </c>
      <c r="D127" s="418" t="s">
        <v>3764</v>
      </c>
      <c r="E127" s="399">
        <v>26917</v>
      </c>
      <c r="F127" s="410" t="s">
        <v>13</v>
      </c>
      <c r="G127" s="419" t="s">
        <v>525</v>
      </c>
      <c r="H127" s="436"/>
      <c r="I127" s="300"/>
      <c r="J127" s="420"/>
    </row>
    <row r="128" spans="1:10" s="398" customFormat="1" ht="31" customHeight="1">
      <c r="A128" s="421">
        <v>36</v>
      </c>
      <c r="B128" s="432" t="s">
        <v>2136</v>
      </c>
      <c r="C128" s="396" t="s">
        <v>3814</v>
      </c>
      <c r="D128" s="994" t="s">
        <v>3771</v>
      </c>
      <c r="E128" s="399">
        <v>32663</v>
      </c>
      <c r="F128" s="410" t="s">
        <v>377</v>
      </c>
      <c r="G128" s="419" t="s">
        <v>526</v>
      </c>
      <c r="H128" s="436"/>
      <c r="I128" s="300"/>
      <c r="J128" s="420"/>
    </row>
    <row r="129" spans="1:10" s="398" customFormat="1" ht="31" customHeight="1">
      <c r="A129" s="421">
        <v>37</v>
      </c>
      <c r="B129" s="432" t="s">
        <v>529</v>
      </c>
      <c r="C129" s="396" t="s">
        <v>3770</v>
      </c>
      <c r="D129" s="418" t="s">
        <v>3771</v>
      </c>
      <c r="E129" s="399">
        <v>24586</v>
      </c>
      <c r="F129" s="410" t="s">
        <v>17</v>
      </c>
      <c r="G129" s="419" t="s">
        <v>530</v>
      </c>
      <c r="H129" s="436"/>
      <c r="I129" s="300"/>
      <c r="J129" s="420"/>
    </row>
    <row r="130" spans="1:10" s="398" customFormat="1" ht="31" customHeight="1">
      <c r="A130" s="421">
        <v>38</v>
      </c>
      <c r="B130" s="432" t="s">
        <v>2103</v>
      </c>
      <c r="C130" s="396" t="s">
        <v>3674</v>
      </c>
      <c r="D130" s="418" t="s">
        <v>3675</v>
      </c>
      <c r="E130" s="399">
        <v>2128</v>
      </c>
      <c r="F130" s="410" t="s">
        <v>76</v>
      </c>
      <c r="G130" s="419">
        <v>9871507495</v>
      </c>
      <c r="H130" s="436" t="s">
        <v>2775</v>
      </c>
      <c r="I130" s="300"/>
      <c r="J130" s="420"/>
    </row>
    <row r="131" spans="1:10" s="398" customFormat="1" ht="31" customHeight="1">
      <c r="A131" s="421">
        <v>39</v>
      </c>
      <c r="B131" s="432" t="s">
        <v>1764</v>
      </c>
      <c r="C131" s="396" t="s">
        <v>3829</v>
      </c>
      <c r="D131" s="418" t="s">
        <v>3675</v>
      </c>
      <c r="E131" s="399">
        <v>15700</v>
      </c>
      <c r="F131" s="410" t="s">
        <v>69</v>
      </c>
      <c r="G131" s="419">
        <v>9354233037</v>
      </c>
      <c r="H131" s="436"/>
      <c r="I131" s="300"/>
      <c r="J131" s="420"/>
    </row>
    <row r="132" spans="1:10" ht="31" customHeight="1">
      <c r="A132" s="421">
        <v>40</v>
      </c>
      <c r="B132" s="432" t="s">
        <v>532</v>
      </c>
      <c r="C132" s="194" t="s">
        <v>3743</v>
      </c>
      <c r="D132" s="279" t="s">
        <v>3655</v>
      </c>
      <c r="E132" s="308">
        <v>33881</v>
      </c>
      <c r="F132" s="282" t="s">
        <v>2836</v>
      </c>
      <c r="G132" s="1109">
        <v>7838207253</v>
      </c>
      <c r="H132" s="283"/>
      <c r="I132" s="300"/>
      <c r="J132" s="422"/>
    </row>
    <row r="133" spans="1:10" s="6" customFormat="1" ht="31" customHeight="1">
      <c r="A133" s="421">
        <v>41</v>
      </c>
      <c r="B133" s="432" t="s">
        <v>533</v>
      </c>
      <c r="C133" s="194" t="s">
        <v>3719</v>
      </c>
      <c r="D133" s="279" t="s">
        <v>3655</v>
      </c>
      <c r="E133" s="308">
        <v>24082</v>
      </c>
      <c r="F133" s="282" t="s">
        <v>223</v>
      </c>
      <c r="G133" s="1110"/>
      <c r="H133" s="295"/>
      <c r="I133" s="37"/>
      <c r="J133" s="409"/>
    </row>
    <row r="134" spans="1:10" ht="31" customHeight="1">
      <c r="A134" s="421">
        <v>42</v>
      </c>
      <c r="B134" s="432" t="s">
        <v>2128</v>
      </c>
      <c r="C134" s="194" t="s">
        <v>3833</v>
      </c>
      <c r="D134" s="279" t="s">
        <v>3655</v>
      </c>
      <c r="E134" s="308">
        <v>45916</v>
      </c>
      <c r="F134" s="282" t="s">
        <v>13</v>
      </c>
      <c r="G134" s="1109">
        <v>8252525272</v>
      </c>
      <c r="H134" s="283"/>
      <c r="I134" s="300"/>
      <c r="J134" s="422"/>
    </row>
    <row r="135" spans="1:10" ht="31" customHeight="1">
      <c r="A135" s="421">
        <v>43</v>
      </c>
      <c r="B135" s="432" t="s">
        <v>2127</v>
      </c>
      <c r="C135" s="194" t="s">
        <v>3840</v>
      </c>
      <c r="D135" s="279" t="s">
        <v>3655</v>
      </c>
      <c r="E135" s="308">
        <v>22731</v>
      </c>
      <c r="F135" s="282" t="s">
        <v>13</v>
      </c>
      <c r="G135" s="1110"/>
      <c r="H135" s="283"/>
      <c r="I135" s="300"/>
      <c r="J135" s="422"/>
    </row>
    <row r="136" spans="1:10" s="398" customFormat="1" ht="31" customHeight="1">
      <c r="A136" s="421">
        <v>44</v>
      </c>
      <c r="B136" s="432" t="s">
        <v>2088</v>
      </c>
      <c r="C136" s="396" t="s">
        <v>3813</v>
      </c>
      <c r="D136" s="418" t="s">
        <v>3655</v>
      </c>
      <c r="E136" s="399">
        <v>6365</v>
      </c>
      <c r="F136" s="410" t="s">
        <v>377</v>
      </c>
      <c r="G136" s="419" t="s">
        <v>534</v>
      </c>
      <c r="H136" s="436"/>
      <c r="I136" s="300"/>
      <c r="J136" s="420"/>
    </row>
    <row r="137" spans="1:10" ht="31" customHeight="1">
      <c r="A137" s="421">
        <v>45</v>
      </c>
      <c r="B137" s="432" t="s">
        <v>535</v>
      </c>
      <c r="C137" s="194" t="s">
        <v>3837</v>
      </c>
      <c r="D137" s="279" t="s">
        <v>3655</v>
      </c>
      <c r="E137" s="308">
        <v>45320</v>
      </c>
      <c r="F137" s="282" t="s">
        <v>17</v>
      </c>
      <c r="G137" s="1109" t="s">
        <v>536</v>
      </c>
      <c r="H137" s="283"/>
      <c r="I137" s="300"/>
      <c r="J137" s="422"/>
    </row>
    <row r="138" spans="1:10" ht="31" customHeight="1">
      <c r="A138" s="421">
        <v>46</v>
      </c>
      <c r="B138" s="432" t="s">
        <v>537</v>
      </c>
      <c r="C138" s="194" t="s">
        <v>3838</v>
      </c>
      <c r="D138" s="279" t="s">
        <v>2113</v>
      </c>
      <c r="E138" s="308">
        <v>1274</v>
      </c>
      <c r="F138" s="282" t="s">
        <v>69</v>
      </c>
      <c r="G138" s="1110"/>
      <c r="H138" s="283"/>
      <c r="I138" s="300"/>
      <c r="J138" s="422"/>
    </row>
    <row r="139" spans="1:10" ht="31" customHeight="1">
      <c r="A139" s="421">
        <v>47</v>
      </c>
      <c r="B139" s="432" t="s">
        <v>538</v>
      </c>
      <c r="C139" s="194" t="s">
        <v>3839</v>
      </c>
      <c r="D139" s="279" t="s">
        <v>3655</v>
      </c>
      <c r="E139" s="308">
        <v>38700</v>
      </c>
      <c r="F139" s="282" t="s">
        <v>17</v>
      </c>
      <c r="G139" s="282" t="s">
        <v>539</v>
      </c>
      <c r="H139" s="283"/>
      <c r="I139" s="300"/>
      <c r="J139" s="422"/>
    </row>
    <row r="140" spans="1:10" ht="31" customHeight="1">
      <c r="A140" s="421">
        <v>48</v>
      </c>
      <c r="B140" s="432" t="s">
        <v>540</v>
      </c>
      <c r="C140" s="194" t="s">
        <v>3830</v>
      </c>
      <c r="D140" s="279" t="s">
        <v>3655</v>
      </c>
      <c r="E140" s="308">
        <v>33109</v>
      </c>
      <c r="F140" s="282" t="s">
        <v>21</v>
      </c>
      <c r="G140" s="1109">
        <v>9810423959</v>
      </c>
      <c r="H140" s="1103" t="s">
        <v>2775</v>
      </c>
      <c r="I140" s="1131"/>
      <c r="J140" s="422"/>
    </row>
    <row r="141" spans="1:10" ht="31" customHeight="1">
      <c r="A141" s="421">
        <v>49</v>
      </c>
      <c r="B141" s="432" t="s">
        <v>3835</v>
      </c>
      <c r="C141" s="194" t="s">
        <v>3836</v>
      </c>
      <c r="D141" s="279" t="s">
        <v>3834</v>
      </c>
      <c r="E141" s="308">
        <v>131137</v>
      </c>
      <c r="F141" s="282" t="s">
        <v>69</v>
      </c>
      <c r="G141" s="1110"/>
      <c r="H141" s="1104"/>
      <c r="I141" s="1132"/>
      <c r="J141" s="422"/>
    </row>
    <row r="142" spans="1:10" ht="31" customHeight="1">
      <c r="A142" s="421">
        <v>50</v>
      </c>
      <c r="B142" s="432" t="s">
        <v>541</v>
      </c>
      <c r="C142" s="194" t="s">
        <v>3855</v>
      </c>
      <c r="D142" s="279" t="s">
        <v>3655</v>
      </c>
      <c r="E142" s="1010">
        <v>34547</v>
      </c>
      <c r="F142" s="296" t="s">
        <v>69</v>
      </c>
      <c r="G142" s="1122">
        <v>8076863618</v>
      </c>
      <c r="H142" s="283"/>
      <c r="I142" s="300"/>
      <c r="J142" s="422"/>
    </row>
    <row r="143" spans="1:10" ht="31" customHeight="1">
      <c r="A143" s="421">
        <v>51</v>
      </c>
      <c r="B143" s="432" t="s">
        <v>542</v>
      </c>
      <c r="C143" s="194" t="s">
        <v>3854</v>
      </c>
      <c r="D143" s="279" t="s">
        <v>2113</v>
      </c>
      <c r="E143" s="1010">
        <v>3349</v>
      </c>
      <c r="F143" s="282" t="s">
        <v>21</v>
      </c>
      <c r="G143" s="1123"/>
      <c r="H143" s="283"/>
      <c r="I143" s="300"/>
      <c r="J143" s="422"/>
    </row>
    <row r="144" spans="1:10" ht="31" customHeight="1">
      <c r="A144" s="421">
        <v>52</v>
      </c>
      <c r="B144" s="432" t="s">
        <v>2128</v>
      </c>
      <c r="C144" s="194" t="s">
        <v>3799</v>
      </c>
      <c r="D144" s="279" t="s">
        <v>2113</v>
      </c>
      <c r="E144" s="308">
        <v>27989</v>
      </c>
      <c r="F144" s="282" t="s">
        <v>29</v>
      </c>
      <c r="G144" s="282">
        <v>9716369756</v>
      </c>
      <c r="H144" s="283"/>
      <c r="I144" s="300"/>
      <c r="J144" s="422"/>
    </row>
    <row r="145" spans="1:10" s="269" customFormat="1" ht="31" customHeight="1">
      <c r="A145" s="421">
        <v>53</v>
      </c>
      <c r="B145" s="432" t="s">
        <v>548</v>
      </c>
      <c r="C145" s="284" t="s">
        <v>2114</v>
      </c>
      <c r="D145" s="285" t="s">
        <v>2113</v>
      </c>
      <c r="E145" s="310">
        <v>75461</v>
      </c>
      <c r="F145" s="287" t="s">
        <v>17</v>
      </c>
      <c r="G145" s="287" t="s">
        <v>549</v>
      </c>
      <c r="H145" s="288"/>
      <c r="I145" s="316"/>
      <c r="J145" s="435"/>
    </row>
    <row r="146" spans="1:10" s="269" customFormat="1" ht="31" customHeight="1">
      <c r="A146" s="421">
        <v>54</v>
      </c>
      <c r="B146" s="432" t="s">
        <v>550</v>
      </c>
      <c r="C146" s="284" t="s">
        <v>3777</v>
      </c>
      <c r="D146" s="285" t="s">
        <v>2138</v>
      </c>
      <c r="E146" s="310">
        <v>44207</v>
      </c>
      <c r="F146" s="287" t="s">
        <v>17</v>
      </c>
      <c r="G146" s="287">
        <v>9891422439</v>
      </c>
      <c r="H146" s="288"/>
      <c r="I146" s="316"/>
      <c r="J146" s="435"/>
    </row>
    <row r="147" spans="1:10" s="269" customFormat="1" ht="31" customHeight="1">
      <c r="A147" s="421">
        <v>55</v>
      </c>
      <c r="B147" s="432" t="s">
        <v>3856</v>
      </c>
      <c r="C147" s="284" t="s">
        <v>3858</v>
      </c>
      <c r="D147" s="285" t="s">
        <v>3857</v>
      </c>
      <c r="E147" s="310">
        <v>55957</v>
      </c>
      <c r="F147" s="287" t="s">
        <v>3859</v>
      </c>
      <c r="G147" s="287"/>
      <c r="H147" s="288" t="s">
        <v>3860</v>
      </c>
      <c r="I147" s="316"/>
      <c r="J147" s="435"/>
    </row>
    <row r="148" spans="1:10" s="269" customFormat="1" ht="31" customHeight="1">
      <c r="A148" s="421">
        <v>56</v>
      </c>
      <c r="B148" s="432" t="s">
        <v>552</v>
      </c>
      <c r="C148" s="284" t="s">
        <v>3800</v>
      </c>
      <c r="D148" s="285" t="s">
        <v>3774</v>
      </c>
      <c r="E148" s="310">
        <v>41078</v>
      </c>
      <c r="F148" s="287" t="s">
        <v>69</v>
      </c>
      <c r="G148" s="287">
        <v>9634356768</v>
      </c>
      <c r="H148" s="288" t="s">
        <v>2775</v>
      </c>
      <c r="I148" s="316"/>
      <c r="J148" s="435"/>
    </row>
    <row r="149" spans="1:10" s="269" customFormat="1" ht="31" customHeight="1" thickBot="1">
      <c r="A149" s="430">
        <v>57</v>
      </c>
      <c r="B149" s="984" t="s">
        <v>553</v>
      </c>
      <c r="C149" s="488" t="s">
        <v>3773</v>
      </c>
      <c r="D149" s="489" t="s">
        <v>3774</v>
      </c>
      <c r="E149" s="988">
        <v>38344</v>
      </c>
      <c r="F149" s="491" t="s">
        <v>377</v>
      </c>
      <c r="G149" s="491">
        <v>9953296807</v>
      </c>
      <c r="H149" s="492"/>
      <c r="I149" s="493"/>
      <c r="J149" s="435"/>
    </row>
    <row r="150" spans="1:10" ht="30" customHeight="1" thickBot="1">
      <c r="A150" s="427"/>
      <c r="B150" s="291"/>
      <c r="C150" s="292" t="s">
        <v>93</v>
      </c>
      <c r="D150" s="291"/>
      <c r="E150" s="291"/>
      <c r="F150" s="291"/>
      <c r="G150" s="291"/>
      <c r="H150" s="291"/>
      <c r="I150" s="298"/>
      <c r="J150" s="406">
        <v>6</v>
      </c>
    </row>
    <row r="151" spans="1:10" ht="16" thickBot="1">
      <c r="A151" s="429"/>
      <c r="B151" s="312"/>
      <c r="C151" s="312"/>
      <c r="D151" s="312"/>
      <c r="E151" s="312"/>
      <c r="F151" s="312"/>
      <c r="G151" s="312"/>
      <c r="H151" s="312"/>
      <c r="I151" s="315"/>
    </row>
    <row r="152" spans="1:10" ht="30" customHeight="1" thickBot="1">
      <c r="A152" s="423" t="s">
        <v>2</v>
      </c>
      <c r="B152" s="272" t="s">
        <v>3</v>
      </c>
      <c r="C152" s="272" t="s">
        <v>4</v>
      </c>
      <c r="D152" s="273" t="s">
        <v>5</v>
      </c>
      <c r="E152" s="272" t="s">
        <v>6</v>
      </c>
      <c r="F152" s="272" t="s">
        <v>360</v>
      </c>
      <c r="G152" s="272" t="s">
        <v>8</v>
      </c>
      <c r="H152" s="272" t="s">
        <v>9</v>
      </c>
      <c r="I152" s="297" t="s">
        <v>10</v>
      </c>
    </row>
    <row r="153" spans="1:10" ht="39" customHeight="1">
      <c r="A153" s="425">
        <v>1</v>
      </c>
      <c r="B153" s="432" t="s">
        <v>3823</v>
      </c>
      <c r="C153" s="194" t="s">
        <v>3822</v>
      </c>
      <c r="D153" s="279" t="s">
        <v>3821</v>
      </c>
      <c r="E153" s="280">
        <v>1585</v>
      </c>
      <c r="F153" s="289" t="s">
        <v>3827</v>
      </c>
      <c r="G153" s="282"/>
      <c r="H153" s="283" t="s">
        <v>428</v>
      </c>
      <c r="I153" s="300"/>
      <c r="J153" s="422"/>
    </row>
    <row r="154" spans="1:10" ht="39" customHeight="1">
      <c r="A154" s="425">
        <v>2</v>
      </c>
      <c r="B154" s="432" t="s">
        <v>3825</v>
      </c>
      <c r="C154" s="194" t="s">
        <v>3826</v>
      </c>
      <c r="D154" s="279" t="s">
        <v>3821</v>
      </c>
      <c r="E154" s="280">
        <v>2318</v>
      </c>
      <c r="F154" s="289" t="s">
        <v>3827</v>
      </c>
      <c r="G154" s="282"/>
      <c r="H154" s="283" t="s">
        <v>428</v>
      </c>
      <c r="I154" s="300"/>
      <c r="J154" s="422"/>
    </row>
    <row r="155" spans="1:10" s="6" customFormat="1" ht="39" customHeight="1">
      <c r="A155" s="425">
        <v>3</v>
      </c>
      <c r="B155" s="943" t="s">
        <v>2162</v>
      </c>
      <c r="C155" s="596" t="s">
        <v>2163</v>
      </c>
      <c r="D155" s="597" t="s">
        <v>2158</v>
      </c>
      <c r="E155" s="598">
        <v>28728</v>
      </c>
      <c r="F155" s="461" t="s">
        <v>3706</v>
      </c>
      <c r="G155" s="461">
        <v>9013546725</v>
      </c>
      <c r="H155" s="295"/>
      <c r="I155" s="37"/>
      <c r="J155" s="409"/>
    </row>
    <row r="156" spans="1:10" ht="39" customHeight="1">
      <c r="A156" s="425">
        <v>4</v>
      </c>
      <c r="B156" s="432" t="s">
        <v>561</v>
      </c>
      <c r="C156" s="194" t="s">
        <v>3852</v>
      </c>
      <c r="D156" s="279" t="s">
        <v>3853</v>
      </c>
      <c r="E156" s="280">
        <v>34588</v>
      </c>
      <c r="F156" s="289" t="s">
        <v>13</v>
      </c>
      <c r="G156" s="282">
        <v>8800480437</v>
      </c>
      <c r="H156" s="283" t="s">
        <v>2775</v>
      </c>
      <c r="I156" s="300"/>
      <c r="J156" s="422"/>
    </row>
    <row r="157" spans="1:10" s="6" customFormat="1" ht="39" customHeight="1">
      <c r="A157" s="425">
        <v>5</v>
      </c>
      <c r="B157" s="943" t="s">
        <v>558</v>
      </c>
      <c r="C157" s="596" t="s">
        <v>2159</v>
      </c>
      <c r="D157" s="597" t="s">
        <v>2158</v>
      </c>
      <c r="E157" s="598">
        <v>42606</v>
      </c>
      <c r="F157" s="461" t="s">
        <v>13</v>
      </c>
      <c r="G157" s="461" t="s">
        <v>559</v>
      </c>
      <c r="H157" s="295" t="s">
        <v>560</v>
      </c>
      <c r="I157" s="37"/>
      <c r="J157" s="409"/>
    </row>
    <row r="158" spans="1:10" s="6" customFormat="1" ht="39" customHeight="1">
      <c r="A158" s="425">
        <v>6</v>
      </c>
      <c r="B158" s="943" t="s">
        <v>487</v>
      </c>
      <c r="C158" s="596" t="s">
        <v>2155</v>
      </c>
      <c r="D158" s="597" t="s">
        <v>2154</v>
      </c>
      <c r="E158" s="598">
        <v>31571</v>
      </c>
      <c r="F158" s="461" t="s">
        <v>29</v>
      </c>
      <c r="G158" s="461">
        <v>9911527646</v>
      </c>
      <c r="H158" s="295" t="s">
        <v>2775</v>
      </c>
      <c r="I158" s="37"/>
      <c r="J158" s="409"/>
    </row>
    <row r="159" spans="1:10" s="6" customFormat="1" ht="39" customHeight="1">
      <c r="A159" s="425">
        <v>7</v>
      </c>
      <c r="B159" s="943" t="s">
        <v>488</v>
      </c>
      <c r="C159" s="596" t="s">
        <v>2247</v>
      </c>
      <c r="D159" s="597" t="s">
        <v>2174</v>
      </c>
      <c r="E159" s="598">
        <v>28577</v>
      </c>
      <c r="F159" s="461" t="s">
        <v>29</v>
      </c>
      <c r="G159" s="461">
        <v>9911527646</v>
      </c>
      <c r="H159" s="295" t="s">
        <v>2775</v>
      </c>
      <c r="I159" s="37"/>
      <c r="J159" s="409"/>
    </row>
    <row r="160" spans="1:10" ht="39" customHeight="1">
      <c r="A160" s="425">
        <v>8</v>
      </c>
      <c r="B160" s="432" t="s">
        <v>490</v>
      </c>
      <c r="C160" s="194" t="s">
        <v>3831</v>
      </c>
      <c r="D160" s="279" t="s">
        <v>3832</v>
      </c>
      <c r="E160" s="280">
        <v>13700</v>
      </c>
      <c r="F160" s="289" t="s">
        <v>29</v>
      </c>
      <c r="G160" s="282">
        <v>9654386149</v>
      </c>
      <c r="H160" s="283"/>
      <c r="I160" s="300"/>
      <c r="J160" s="422"/>
    </row>
    <row r="161" spans="1:10" s="6" customFormat="1" ht="39" customHeight="1">
      <c r="A161" s="425">
        <v>9</v>
      </c>
      <c r="B161" s="943" t="s">
        <v>556</v>
      </c>
      <c r="C161" s="596" t="s">
        <v>2157</v>
      </c>
      <c r="D161" s="597" t="s">
        <v>2156</v>
      </c>
      <c r="E161" s="598">
        <v>17433</v>
      </c>
      <c r="F161" s="461" t="s">
        <v>29</v>
      </c>
      <c r="G161" s="461" t="s">
        <v>557</v>
      </c>
      <c r="H161" s="295"/>
      <c r="I161" s="37"/>
      <c r="J161" s="409"/>
    </row>
    <row r="162" spans="1:10" s="6" customFormat="1" ht="39" customHeight="1">
      <c r="A162" s="425">
        <v>10</v>
      </c>
      <c r="B162" s="943" t="s">
        <v>2209</v>
      </c>
      <c r="C162" s="596" t="s">
        <v>2211</v>
      </c>
      <c r="D162" s="597" t="s">
        <v>2210</v>
      </c>
      <c r="E162" s="598">
        <v>15451</v>
      </c>
      <c r="F162" s="461" t="s">
        <v>17</v>
      </c>
      <c r="G162" s="461">
        <v>8527710337</v>
      </c>
      <c r="H162" s="295"/>
      <c r="I162" s="37"/>
      <c r="J162" s="409"/>
    </row>
    <row r="163" spans="1:10" s="6" customFormat="1" ht="39" customHeight="1">
      <c r="A163" s="425">
        <v>11</v>
      </c>
      <c r="B163" s="943" t="s">
        <v>2212</v>
      </c>
      <c r="C163" s="596" t="s">
        <v>2213</v>
      </c>
      <c r="D163" s="597" t="s">
        <v>2210</v>
      </c>
      <c r="E163" s="598">
        <v>15451</v>
      </c>
      <c r="F163" s="461" t="s">
        <v>17</v>
      </c>
      <c r="G163" s="461">
        <v>9871507495</v>
      </c>
      <c r="H163" s="295"/>
      <c r="I163" s="37"/>
      <c r="J163" s="409"/>
    </row>
    <row r="164" spans="1:10" ht="39" customHeight="1">
      <c r="A164" s="425">
        <v>12</v>
      </c>
      <c r="B164" s="432" t="s">
        <v>2243</v>
      </c>
      <c r="C164" s="194" t="s">
        <v>2244</v>
      </c>
      <c r="D164" s="279" t="s">
        <v>2242</v>
      </c>
      <c r="E164" s="280">
        <v>79832</v>
      </c>
      <c r="F164" s="289" t="s">
        <v>3706</v>
      </c>
      <c r="G164" s="282">
        <v>9818748460</v>
      </c>
      <c r="H164" s="283"/>
      <c r="I164" s="300"/>
      <c r="J164" s="422"/>
    </row>
    <row r="165" spans="1:10" s="6" customFormat="1" ht="39" customHeight="1">
      <c r="A165" s="425">
        <v>13</v>
      </c>
      <c r="B165" s="943" t="s">
        <v>568</v>
      </c>
      <c r="C165" s="596" t="s">
        <v>2125</v>
      </c>
      <c r="D165" s="597" t="s">
        <v>2126</v>
      </c>
      <c r="E165" s="598">
        <v>1503.32</v>
      </c>
      <c r="F165" s="461" t="s">
        <v>13</v>
      </c>
      <c r="G165" s="461" t="s">
        <v>539</v>
      </c>
      <c r="H165" s="295" t="s">
        <v>569</v>
      </c>
      <c r="I165" s="37"/>
      <c r="J165" s="409"/>
    </row>
    <row r="166" spans="1:10" ht="39" customHeight="1">
      <c r="A166" s="425">
        <v>14</v>
      </c>
      <c r="B166" s="432" t="s">
        <v>2245</v>
      </c>
      <c r="C166" s="194" t="s">
        <v>2195</v>
      </c>
      <c r="D166" s="279" t="s">
        <v>2194</v>
      </c>
      <c r="E166" s="280">
        <v>60324</v>
      </c>
      <c r="F166" s="289" t="s">
        <v>344</v>
      </c>
      <c r="G166" s="282">
        <v>9015927576</v>
      </c>
      <c r="H166" s="283"/>
      <c r="I166" s="300"/>
      <c r="J166" s="422"/>
    </row>
    <row r="167" spans="1:10" ht="39" customHeight="1">
      <c r="A167" s="425">
        <v>15</v>
      </c>
      <c r="B167" s="432" t="s">
        <v>2182</v>
      </c>
      <c r="C167" s="194" t="s">
        <v>2184</v>
      </c>
      <c r="D167" s="279" t="s">
        <v>2183</v>
      </c>
      <c r="E167" s="280">
        <v>58825</v>
      </c>
      <c r="F167" s="289" t="s">
        <v>17</v>
      </c>
      <c r="G167" s="282">
        <v>8802121562</v>
      </c>
      <c r="H167" s="283"/>
      <c r="I167" s="300"/>
      <c r="J167" s="422"/>
    </row>
    <row r="168" spans="1:10" s="6" customFormat="1" ht="39" customHeight="1">
      <c r="A168" s="425">
        <v>16</v>
      </c>
      <c r="B168" s="943" t="s">
        <v>571</v>
      </c>
      <c r="C168" s="596" t="s">
        <v>2186</v>
      </c>
      <c r="D168" s="597" t="s">
        <v>2185</v>
      </c>
      <c r="E168" s="598">
        <v>30835</v>
      </c>
      <c r="F168" s="461" t="s">
        <v>3844</v>
      </c>
      <c r="G168" s="461">
        <v>9717194666</v>
      </c>
      <c r="H168" s="295"/>
      <c r="I168" s="37"/>
      <c r="J168" s="409"/>
    </row>
    <row r="169" spans="1:10" s="6" customFormat="1" ht="39" customHeight="1">
      <c r="A169" s="425">
        <v>17</v>
      </c>
      <c r="B169" s="943" t="s">
        <v>572</v>
      </c>
      <c r="C169" s="596" t="s">
        <v>2281</v>
      </c>
      <c r="D169" s="597" t="s">
        <v>2256</v>
      </c>
      <c r="E169" s="598">
        <v>42636</v>
      </c>
      <c r="F169" s="461" t="s">
        <v>17</v>
      </c>
      <c r="G169" s="461">
        <v>9968250488</v>
      </c>
      <c r="H169" s="295"/>
      <c r="I169" s="37"/>
      <c r="J169" s="409"/>
    </row>
    <row r="170" spans="1:10" s="6" customFormat="1" ht="39" customHeight="1">
      <c r="A170" s="425">
        <v>18</v>
      </c>
      <c r="B170" s="943" t="s">
        <v>573</v>
      </c>
      <c r="C170" s="596" t="s">
        <v>2197</v>
      </c>
      <c r="D170" s="597" t="s">
        <v>2196</v>
      </c>
      <c r="E170" s="598">
        <v>57368</v>
      </c>
      <c r="F170" s="461" t="s">
        <v>13</v>
      </c>
      <c r="G170" s="461">
        <v>9868902279</v>
      </c>
      <c r="H170" s="295"/>
      <c r="I170" s="37"/>
      <c r="J170" s="409"/>
    </row>
    <row r="171" spans="1:10" s="6" customFormat="1" ht="39" customHeight="1">
      <c r="A171" s="425">
        <v>19</v>
      </c>
      <c r="B171" s="943" t="s">
        <v>566</v>
      </c>
      <c r="C171" s="596" t="s">
        <v>2200</v>
      </c>
      <c r="D171" s="597" t="s">
        <v>2110</v>
      </c>
      <c r="E171" s="598">
        <v>22306</v>
      </c>
      <c r="F171" s="461" t="s">
        <v>29</v>
      </c>
      <c r="G171" s="461">
        <v>9582962229</v>
      </c>
      <c r="H171" s="295"/>
      <c r="I171" s="37"/>
      <c r="J171" s="409"/>
    </row>
    <row r="172" spans="1:10" s="6" customFormat="1" ht="39" customHeight="1">
      <c r="A172" s="425">
        <v>20</v>
      </c>
      <c r="B172" s="943" t="s">
        <v>2160</v>
      </c>
      <c r="C172" s="596" t="s">
        <v>2161</v>
      </c>
      <c r="D172" s="597" t="s">
        <v>576</v>
      </c>
      <c r="E172" s="598">
        <v>49801</v>
      </c>
      <c r="F172" s="461" t="s">
        <v>17</v>
      </c>
      <c r="G172" s="461">
        <v>9873396033</v>
      </c>
      <c r="H172" s="295">
        <v>9871937619</v>
      </c>
      <c r="I172" s="37"/>
      <c r="J172" s="409"/>
    </row>
    <row r="173" spans="1:10" s="6" customFormat="1" ht="39" customHeight="1">
      <c r="A173" s="425">
        <v>21</v>
      </c>
      <c r="B173" s="943" t="s">
        <v>574</v>
      </c>
      <c r="C173" s="596" t="s">
        <v>575</v>
      </c>
      <c r="D173" s="597" t="s">
        <v>576</v>
      </c>
      <c r="E173" s="598">
        <v>28082</v>
      </c>
      <c r="F173" s="461" t="s">
        <v>13</v>
      </c>
      <c r="G173" s="861">
        <v>8527920068</v>
      </c>
      <c r="H173" s="295"/>
      <c r="I173" s="37"/>
      <c r="J173" s="409"/>
    </row>
    <row r="174" spans="1:10" s="6" customFormat="1" ht="39" customHeight="1">
      <c r="A174" s="425">
        <v>22</v>
      </c>
      <c r="B174" s="943" t="s">
        <v>2241</v>
      </c>
      <c r="C174" s="596" t="s">
        <v>2240</v>
      </c>
      <c r="D174" s="597" t="s">
        <v>2239</v>
      </c>
      <c r="E174" s="598">
        <v>41124</v>
      </c>
      <c r="F174" s="461" t="s">
        <v>17</v>
      </c>
      <c r="G174" s="861">
        <v>9810345682</v>
      </c>
      <c r="H174" s="295"/>
      <c r="I174" s="37"/>
      <c r="J174" s="409"/>
    </row>
    <row r="175" spans="1:10" s="6" customFormat="1" ht="39" customHeight="1" thickBot="1">
      <c r="A175" s="426">
        <v>23</v>
      </c>
      <c r="B175" s="944" t="s">
        <v>577</v>
      </c>
      <c r="C175" s="856" t="s">
        <v>2217</v>
      </c>
      <c r="D175" s="953" t="s">
        <v>2216</v>
      </c>
      <c r="E175" s="857">
        <v>38055</v>
      </c>
      <c r="F175" s="749" t="s">
        <v>29</v>
      </c>
      <c r="G175" s="858">
        <v>9873548918</v>
      </c>
      <c r="H175" s="859"/>
      <c r="I175" s="860"/>
      <c r="J175" s="409"/>
    </row>
    <row r="176" spans="1:10" ht="30" customHeight="1" thickBot="1">
      <c r="A176" s="427"/>
      <c r="B176" s="291"/>
      <c r="C176" s="292" t="s">
        <v>103</v>
      </c>
      <c r="D176" s="291"/>
      <c r="E176" s="291"/>
      <c r="F176" s="291"/>
      <c r="G176" s="291"/>
      <c r="H176" s="291"/>
      <c r="I176" s="298"/>
      <c r="J176" s="412">
        <v>7</v>
      </c>
    </row>
    <row r="177" spans="1:10" ht="16" thickBot="1">
      <c r="A177" s="429"/>
      <c r="B177" s="312"/>
      <c r="C177" s="312"/>
      <c r="D177" s="312"/>
      <c r="E177" s="312"/>
      <c r="F177" s="312"/>
      <c r="G177" s="312"/>
      <c r="H177" s="312"/>
      <c r="I177" s="315"/>
    </row>
    <row r="178" spans="1:10" s="269" customFormat="1" ht="28.5" customHeight="1" thickBot="1">
      <c r="A178" s="423" t="s">
        <v>2</v>
      </c>
      <c r="B178" s="272" t="s">
        <v>3</v>
      </c>
      <c r="C178" s="272" t="s">
        <v>4</v>
      </c>
      <c r="D178" s="273" t="s">
        <v>5</v>
      </c>
      <c r="E178" s="272" t="s">
        <v>6</v>
      </c>
      <c r="F178" s="272" t="s">
        <v>360</v>
      </c>
      <c r="G178" s="272" t="s">
        <v>8</v>
      </c>
      <c r="H178" s="272" t="s">
        <v>9</v>
      </c>
      <c r="I178" s="297" t="s">
        <v>10</v>
      </c>
      <c r="J178" s="407"/>
    </row>
    <row r="179" spans="1:10" ht="39" customHeight="1">
      <c r="A179" s="425">
        <v>1</v>
      </c>
      <c r="B179" s="120" t="s">
        <v>578</v>
      </c>
      <c r="C179" s="194" t="s">
        <v>2278</v>
      </c>
      <c r="D179" s="279" t="s">
        <v>2254</v>
      </c>
      <c r="E179" s="280">
        <v>40142</v>
      </c>
      <c r="F179" s="282" t="s">
        <v>17</v>
      </c>
      <c r="G179" s="282">
        <v>9717973897</v>
      </c>
      <c r="H179" s="294" t="s">
        <v>579</v>
      </c>
      <c r="I179" s="300"/>
      <c r="J179" s="422"/>
    </row>
    <row r="180" spans="1:10" ht="39" customHeight="1">
      <c r="A180" s="425">
        <v>2</v>
      </c>
      <c r="B180" s="120" t="s">
        <v>580</v>
      </c>
      <c r="C180" s="194" t="s">
        <v>2255</v>
      </c>
      <c r="D180" s="279" t="s">
        <v>2254</v>
      </c>
      <c r="E180" s="280">
        <v>43129</v>
      </c>
      <c r="F180" s="282" t="s">
        <v>223</v>
      </c>
      <c r="G180" s="282">
        <v>9833442545</v>
      </c>
      <c r="H180" s="294" t="s">
        <v>2775</v>
      </c>
      <c r="I180" s="300"/>
      <c r="J180" s="422"/>
    </row>
    <row r="181" spans="1:10" ht="39" customHeight="1">
      <c r="A181" s="425">
        <v>3</v>
      </c>
      <c r="B181" s="120" t="s">
        <v>2276</v>
      </c>
      <c r="C181" s="194" t="s">
        <v>2275</v>
      </c>
      <c r="D181" s="279" t="s">
        <v>2273</v>
      </c>
      <c r="E181" s="280">
        <v>7020</v>
      </c>
      <c r="F181" s="282" t="s">
        <v>17</v>
      </c>
      <c r="G181" s="282" t="s">
        <v>581</v>
      </c>
      <c r="H181" s="283"/>
      <c r="I181" s="300"/>
      <c r="J181" s="422"/>
    </row>
    <row r="182" spans="1:10" ht="39" customHeight="1">
      <c r="A182" s="425">
        <v>4</v>
      </c>
      <c r="B182" s="120" t="s">
        <v>582</v>
      </c>
      <c r="C182" s="194" t="s">
        <v>2274</v>
      </c>
      <c r="D182" s="279" t="s">
        <v>2273</v>
      </c>
      <c r="E182" s="280">
        <v>17523</v>
      </c>
      <c r="F182" s="282" t="s">
        <v>13</v>
      </c>
      <c r="G182" s="282" t="s">
        <v>583</v>
      </c>
      <c r="H182" s="283" t="s">
        <v>2773</v>
      </c>
      <c r="I182" s="300"/>
      <c r="J182" s="422"/>
    </row>
    <row r="183" spans="1:10" ht="39" customHeight="1">
      <c r="A183" s="425">
        <v>5</v>
      </c>
      <c r="B183" s="120" t="s">
        <v>584</v>
      </c>
      <c r="C183" s="194" t="s">
        <v>2277</v>
      </c>
      <c r="D183" s="279" t="s">
        <v>2187</v>
      </c>
      <c r="E183" s="280">
        <v>30291</v>
      </c>
      <c r="F183" s="282" t="s">
        <v>17</v>
      </c>
      <c r="G183" s="282">
        <v>9811337524</v>
      </c>
      <c r="H183" s="283" t="s">
        <v>585</v>
      </c>
      <c r="I183" s="300"/>
      <c r="J183" s="422"/>
    </row>
    <row r="184" spans="1:10" ht="39" customHeight="1">
      <c r="A184" s="425">
        <v>6</v>
      </c>
      <c r="B184" s="120" t="s">
        <v>2188</v>
      </c>
      <c r="C184" s="194" t="s">
        <v>2189</v>
      </c>
      <c r="D184" s="279" t="s">
        <v>2187</v>
      </c>
      <c r="E184" s="280">
        <v>45005</v>
      </c>
      <c r="F184" s="282" t="s">
        <v>29</v>
      </c>
      <c r="G184" s="282" t="s">
        <v>586</v>
      </c>
      <c r="H184" s="283"/>
      <c r="I184" s="300"/>
      <c r="J184" s="422"/>
    </row>
    <row r="185" spans="1:10" ht="39" customHeight="1">
      <c r="A185" s="425">
        <v>7</v>
      </c>
      <c r="B185" s="120" t="s">
        <v>2325</v>
      </c>
      <c r="C185" s="194" t="s">
        <v>2324</v>
      </c>
      <c r="D185" s="279" t="s">
        <v>2323</v>
      </c>
      <c r="E185" s="280">
        <v>75190</v>
      </c>
      <c r="F185" s="282" t="s">
        <v>21</v>
      </c>
      <c r="G185" s="576"/>
      <c r="H185" s="283"/>
      <c r="I185" s="300"/>
      <c r="J185" s="422"/>
    </row>
    <row r="186" spans="1:10" ht="39" customHeight="1">
      <c r="A186" s="425">
        <v>8</v>
      </c>
      <c r="B186" s="120" t="s">
        <v>589</v>
      </c>
      <c r="C186" s="194" t="s">
        <v>2385</v>
      </c>
      <c r="D186" s="279" t="s">
        <v>2320</v>
      </c>
      <c r="E186" s="280">
        <v>27880</v>
      </c>
      <c r="F186" s="282" t="s">
        <v>17</v>
      </c>
      <c r="G186" s="282">
        <v>9416746544</v>
      </c>
      <c r="H186" s="283"/>
      <c r="I186" s="300"/>
      <c r="J186" s="422"/>
    </row>
    <row r="187" spans="1:10" ht="39" customHeight="1">
      <c r="A187" s="425">
        <v>9</v>
      </c>
      <c r="B187" s="120" t="s">
        <v>590</v>
      </c>
      <c r="C187" s="194" t="s">
        <v>2384</v>
      </c>
      <c r="D187" s="279" t="s">
        <v>2330</v>
      </c>
      <c r="E187" s="280">
        <v>21949</v>
      </c>
      <c r="F187" s="282" t="s">
        <v>17</v>
      </c>
      <c r="G187" s="576"/>
      <c r="H187" s="283" t="s">
        <v>365</v>
      </c>
      <c r="I187" s="300"/>
      <c r="J187" s="422"/>
    </row>
    <row r="188" spans="1:10" ht="39" customHeight="1">
      <c r="A188" s="425">
        <v>10</v>
      </c>
      <c r="B188" s="120" t="s">
        <v>591</v>
      </c>
      <c r="C188" s="194" t="s">
        <v>2386</v>
      </c>
      <c r="D188" s="279" t="s">
        <v>2373</v>
      </c>
      <c r="E188" s="280">
        <v>23309</v>
      </c>
      <c r="F188" s="282" t="s">
        <v>29</v>
      </c>
      <c r="G188" s="282" t="s">
        <v>592</v>
      </c>
      <c r="H188" s="283" t="s">
        <v>593</v>
      </c>
      <c r="I188" s="300"/>
      <c r="J188" s="422"/>
    </row>
    <row r="189" spans="1:10" ht="39" customHeight="1">
      <c r="A189" s="425">
        <v>11</v>
      </c>
      <c r="B189" s="120" t="s">
        <v>594</v>
      </c>
      <c r="C189" s="194" t="s">
        <v>2260</v>
      </c>
      <c r="D189" s="279" t="s">
        <v>2253</v>
      </c>
      <c r="E189" s="280">
        <v>32419</v>
      </c>
      <c r="F189" s="282" t="s">
        <v>17</v>
      </c>
      <c r="G189" s="282" t="s">
        <v>595</v>
      </c>
      <c r="H189" s="283"/>
      <c r="I189" s="300"/>
      <c r="J189" s="422"/>
    </row>
    <row r="190" spans="1:10" ht="39" customHeight="1">
      <c r="A190" s="425">
        <v>12</v>
      </c>
      <c r="B190" s="120" t="s">
        <v>596</v>
      </c>
      <c r="C190" s="194" t="s">
        <v>2387</v>
      </c>
      <c r="D190" s="279" t="s">
        <v>2253</v>
      </c>
      <c r="E190" s="280">
        <v>24028</v>
      </c>
      <c r="F190" s="289" t="s">
        <v>597</v>
      </c>
      <c r="G190" s="282">
        <v>9953511844</v>
      </c>
      <c r="H190" s="283" t="s">
        <v>2556</v>
      </c>
      <c r="I190" s="300"/>
      <c r="J190" s="422"/>
    </row>
    <row r="191" spans="1:10" ht="39" customHeight="1">
      <c r="A191" s="425">
        <v>13</v>
      </c>
      <c r="B191" s="120" t="s">
        <v>598</v>
      </c>
      <c r="C191" s="194" t="s">
        <v>599</v>
      </c>
      <c r="D191" s="279" t="s">
        <v>600</v>
      </c>
      <c r="E191" s="280">
        <v>202949</v>
      </c>
      <c r="F191" s="282" t="s">
        <v>13</v>
      </c>
      <c r="G191" s="282">
        <v>9811079541</v>
      </c>
      <c r="H191" s="283"/>
      <c r="I191" s="301"/>
    </row>
    <row r="192" spans="1:10" ht="39" customHeight="1">
      <c r="A192" s="425">
        <v>14</v>
      </c>
      <c r="B192" s="120" t="s">
        <v>2388</v>
      </c>
      <c r="C192" s="194" t="s">
        <v>2389</v>
      </c>
      <c r="D192" s="122" t="s">
        <v>2331</v>
      </c>
      <c r="E192" s="280">
        <v>15167</v>
      </c>
      <c r="F192" s="282" t="s">
        <v>13</v>
      </c>
      <c r="G192" s="282">
        <v>9997702338</v>
      </c>
      <c r="H192" s="283"/>
      <c r="I192" s="300"/>
      <c r="J192" s="422"/>
    </row>
    <row r="193" spans="1:10" ht="39" customHeight="1">
      <c r="A193" s="425">
        <v>15</v>
      </c>
      <c r="B193" s="120" t="s">
        <v>2422</v>
      </c>
      <c r="C193" s="194" t="s">
        <v>2421</v>
      </c>
      <c r="D193" s="122" t="s">
        <v>2349</v>
      </c>
      <c r="E193" s="280">
        <v>23872</v>
      </c>
      <c r="F193" s="289" t="s">
        <v>2420</v>
      </c>
      <c r="G193" s="1109" t="s">
        <v>603</v>
      </c>
      <c r="H193" s="283"/>
      <c r="I193" s="300"/>
      <c r="J193" s="422"/>
    </row>
    <row r="194" spans="1:10" ht="39" customHeight="1">
      <c r="A194" s="425">
        <v>16</v>
      </c>
      <c r="B194" s="120" t="s">
        <v>151</v>
      </c>
      <c r="C194" s="194" t="s">
        <v>2298</v>
      </c>
      <c r="D194" s="279" t="s">
        <v>2299</v>
      </c>
      <c r="E194" s="280">
        <v>41190</v>
      </c>
      <c r="F194" s="289" t="s">
        <v>17</v>
      </c>
      <c r="G194" s="1110"/>
      <c r="H194" s="283"/>
      <c r="I194" s="300"/>
    </row>
    <row r="195" spans="1:10" ht="39" customHeight="1">
      <c r="A195" s="425">
        <v>17</v>
      </c>
      <c r="B195" s="120" t="s">
        <v>604</v>
      </c>
      <c r="C195" s="194" t="s">
        <v>605</v>
      </c>
      <c r="D195" s="279" t="s">
        <v>606</v>
      </c>
      <c r="E195" s="280">
        <v>64503</v>
      </c>
      <c r="F195" s="289" t="s">
        <v>597</v>
      </c>
      <c r="G195" s="282" t="s">
        <v>607</v>
      </c>
      <c r="H195" s="283"/>
      <c r="I195" s="300"/>
    </row>
    <row r="196" spans="1:10" ht="39" customHeight="1">
      <c r="A196" s="425">
        <v>18</v>
      </c>
      <c r="B196" s="120" t="s">
        <v>608</v>
      </c>
      <c r="C196" s="194" t="s">
        <v>2490</v>
      </c>
      <c r="D196" s="279" t="s">
        <v>2381</v>
      </c>
      <c r="E196" s="280">
        <v>44394</v>
      </c>
      <c r="F196" s="282" t="s">
        <v>17</v>
      </c>
      <c r="G196" s="1120">
        <v>9810094795</v>
      </c>
      <c r="H196" s="1102"/>
      <c r="I196" s="1133"/>
      <c r="J196" s="422"/>
    </row>
    <row r="197" spans="1:10" s="6" customFormat="1" ht="39" customHeight="1">
      <c r="A197" s="425">
        <v>19</v>
      </c>
      <c r="B197" s="120" t="s">
        <v>609</v>
      </c>
      <c r="C197" s="194" t="s">
        <v>2382</v>
      </c>
      <c r="D197" s="279" t="s">
        <v>2381</v>
      </c>
      <c r="E197" s="280">
        <v>42156</v>
      </c>
      <c r="F197" s="282" t="s">
        <v>17</v>
      </c>
      <c r="G197" s="1120"/>
      <c r="H197" s="1102"/>
      <c r="I197" s="1133"/>
      <c r="J197" s="409"/>
    </row>
    <row r="198" spans="1:10" ht="39" customHeight="1">
      <c r="A198" s="425">
        <v>20</v>
      </c>
      <c r="B198" s="120" t="s">
        <v>610</v>
      </c>
      <c r="C198" s="194" t="s">
        <v>2390</v>
      </c>
      <c r="D198" s="279" t="s">
        <v>2258</v>
      </c>
      <c r="E198" s="280">
        <v>59269</v>
      </c>
      <c r="F198" s="282" t="s">
        <v>13</v>
      </c>
      <c r="G198" s="576"/>
      <c r="H198" s="283" t="s">
        <v>365</v>
      </c>
      <c r="I198" s="317"/>
      <c r="J198" s="422"/>
    </row>
    <row r="199" spans="1:10" ht="39" customHeight="1">
      <c r="A199" s="425">
        <v>21</v>
      </c>
      <c r="B199" s="120" t="s">
        <v>2393</v>
      </c>
      <c r="C199" s="194" t="s">
        <v>2392</v>
      </c>
      <c r="D199" s="279" t="s">
        <v>2365</v>
      </c>
      <c r="E199" s="280">
        <v>1503.32</v>
      </c>
      <c r="F199" s="282" t="s">
        <v>69</v>
      </c>
      <c r="G199" s="1107" t="s">
        <v>612</v>
      </c>
      <c r="H199" s="1103" t="s">
        <v>2773</v>
      </c>
      <c r="I199" s="1134"/>
      <c r="J199" s="422"/>
    </row>
    <row r="200" spans="1:10" ht="39" customHeight="1">
      <c r="A200" s="425">
        <v>22</v>
      </c>
      <c r="B200" s="120" t="s">
        <v>350</v>
      </c>
      <c r="C200" s="194" t="s">
        <v>2391</v>
      </c>
      <c r="D200" s="279" t="s">
        <v>2365</v>
      </c>
      <c r="E200" s="280">
        <v>32130</v>
      </c>
      <c r="F200" s="282" t="s">
        <v>17</v>
      </c>
      <c r="G200" s="1108"/>
      <c r="H200" s="1104"/>
      <c r="I200" s="1135"/>
      <c r="J200" s="422"/>
    </row>
    <row r="201" spans="1:10" ht="39" customHeight="1" thickBot="1">
      <c r="A201" s="426">
        <v>23</v>
      </c>
      <c r="B201" s="314" t="s">
        <v>615</v>
      </c>
      <c r="C201" s="199" t="s">
        <v>2395</v>
      </c>
      <c r="D201" s="302" t="s">
        <v>2365</v>
      </c>
      <c r="E201" s="303">
        <v>34521</v>
      </c>
      <c r="F201" s="482" t="s">
        <v>29</v>
      </c>
      <c r="G201" s="119">
        <v>9810484569</v>
      </c>
      <c r="H201" s="304"/>
      <c r="I201" s="311"/>
    </row>
    <row r="202" spans="1:10" ht="30" customHeight="1" thickBot="1">
      <c r="A202" s="427"/>
      <c r="B202" s="291"/>
      <c r="C202" s="292" t="s">
        <v>149</v>
      </c>
      <c r="D202" s="291"/>
      <c r="E202" s="291"/>
      <c r="F202" s="291"/>
      <c r="G202" s="291"/>
      <c r="H202" s="291"/>
      <c r="I202" s="298"/>
      <c r="J202" s="412">
        <v>8</v>
      </c>
    </row>
    <row r="203" spans="1:10" ht="16" thickBot="1">
      <c r="A203" s="429"/>
      <c r="B203" s="312"/>
      <c r="C203" s="312"/>
      <c r="D203" s="312"/>
      <c r="E203" s="312"/>
      <c r="F203" s="312"/>
      <c r="G203" s="312"/>
      <c r="H203" s="312"/>
      <c r="I203" s="315"/>
    </row>
    <row r="204" spans="1:10" ht="25" customHeight="1" thickBot="1">
      <c r="A204" s="423" t="s">
        <v>2</v>
      </c>
      <c r="B204" s="272" t="s">
        <v>3</v>
      </c>
      <c r="C204" s="272" t="s">
        <v>4</v>
      </c>
      <c r="D204" s="273" t="s">
        <v>5</v>
      </c>
      <c r="E204" s="272" t="s">
        <v>6</v>
      </c>
      <c r="F204" s="272" t="s">
        <v>360</v>
      </c>
      <c r="G204" s="272" t="s">
        <v>8</v>
      </c>
      <c r="H204" s="272" t="s">
        <v>9</v>
      </c>
      <c r="I204" s="297" t="s">
        <v>10</v>
      </c>
    </row>
    <row r="205" spans="1:10" ht="44.15" customHeight="1">
      <c r="A205" s="472">
        <v>1</v>
      </c>
      <c r="B205" s="120" t="s">
        <v>616</v>
      </c>
      <c r="C205" s="194" t="s">
        <v>2383</v>
      </c>
      <c r="D205" s="279" t="s">
        <v>2376</v>
      </c>
      <c r="E205" s="280">
        <v>24669</v>
      </c>
      <c r="F205" s="282" t="s">
        <v>13</v>
      </c>
      <c r="G205" s="282">
        <v>9999687476</v>
      </c>
      <c r="H205" s="283"/>
      <c r="I205" s="300"/>
      <c r="J205" s="473"/>
    </row>
    <row r="206" spans="1:10" ht="44.15" customHeight="1">
      <c r="A206" s="472">
        <v>2</v>
      </c>
      <c r="B206" s="120" t="s">
        <v>617</v>
      </c>
      <c r="C206" s="194" t="s">
        <v>2457</v>
      </c>
      <c r="D206" s="279" t="s">
        <v>2456</v>
      </c>
      <c r="E206" s="280">
        <v>13045</v>
      </c>
      <c r="F206" s="282" t="s">
        <v>17</v>
      </c>
      <c r="G206" s="282">
        <v>7065822353</v>
      </c>
      <c r="H206" s="283"/>
      <c r="I206" s="300"/>
      <c r="J206" s="422"/>
    </row>
    <row r="207" spans="1:10" ht="44.15" customHeight="1">
      <c r="A207" s="425">
        <v>3</v>
      </c>
      <c r="B207" s="120" t="s">
        <v>625</v>
      </c>
      <c r="C207" s="194" t="s">
        <v>2463</v>
      </c>
      <c r="D207" s="279" t="s">
        <v>2371</v>
      </c>
      <c r="E207" s="280">
        <v>40919</v>
      </c>
      <c r="F207" s="282" t="s">
        <v>13</v>
      </c>
      <c r="G207" s="282">
        <v>9958011212</v>
      </c>
      <c r="H207" s="283"/>
      <c r="I207" s="300"/>
      <c r="J207" s="422"/>
    </row>
    <row r="208" spans="1:10" ht="44.15" customHeight="1">
      <c r="A208" s="472">
        <v>4</v>
      </c>
      <c r="B208" s="120" t="s">
        <v>626</v>
      </c>
      <c r="C208" s="194" t="s">
        <v>2461</v>
      </c>
      <c r="D208" s="279" t="s">
        <v>2371</v>
      </c>
      <c r="E208" s="280">
        <v>23548</v>
      </c>
      <c r="F208" s="282" t="s">
        <v>13</v>
      </c>
      <c r="G208" s="282">
        <v>9810206616</v>
      </c>
      <c r="H208" s="283"/>
      <c r="I208" s="300"/>
      <c r="J208" s="422"/>
    </row>
    <row r="209" spans="1:10" ht="44.15" customHeight="1">
      <c r="A209" s="472">
        <v>5</v>
      </c>
      <c r="B209" s="120" t="s">
        <v>627</v>
      </c>
      <c r="C209" s="194" t="s">
        <v>2416</v>
      </c>
      <c r="D209" s="279" t="s">
        <v>2417</v>
      </c>
      <c r="E209" s="280">
        <v>48753</v>
      </c>
      <c r="F209" s="282" t="s">
        <v>17</v>
      </c>
      <c r="G209" s="282" t="s">
        <v>629</v>
      </c>
      <c r="H209" s="283"/>
      <c r="I209" s="300"/>
      <c r="J209" s="422"/>
    </row>
    <row r="210" spans="1:10" ht="44.15" customHeight="1">
      <c r="A210" s="425">
        <v>6</v>
      </c>
      <c r="B210" s="120" t="s">
        <v>2507</v>
      </c>
      <c r="C210" s="194" t="s">
        <v>2506</v>
      </c>
      <c r="D210" s="279" t="s">
        <v>2505</v>
      </c>
      <c r="E210" s="280">
        <v>198598</v>
      </c>
      <c r="F210" s="282" t="s">
        <v>13</v>
      </c>
      <c r="G210" s="576"/>
      <c r="H210" s="283" t="s">
        <v>2508</v>
      </c>
      <c r="I210" s="300"/>
      <c r="J210" s="422"/>
    </row>
    <row r="211" spans="1:10" ht="44.15" customHeight="1">
      <c r="A211" s="472">
        <v>7</v>
      </c>
      <c r="B211" s="120" t="s">
        <v>630</v>
      </c>
      <c r="C211" s="194" t="s">
        <v>2460</v>
      </c>
      <c r="D211" s="279" t="s">
        <v>2458</v>
      </c>
      <c r="E211" s="280">
        <v>14992</v>
      </c>
      <c r="F211" s="282" t="s">
        <v>17</v>
      </c>
      <c r="G211" s="576"/>
      <c r="H211" s="283" t="s">
        <v>365</v>
      </c>
      <c r="I211" s="300"/>
      <c r="J211" s="422"/>
    </row>
    <row r="212" spans="1:10" ht="43.5" customHeight="1">
      <c r="A212" s="472">
        <v>8</v>
      </c>
      <c r="B212" s="120" t="s">
        <v>631</v>
      </c>
      <c r="C212" s="196" t="s">
        <v>2459</v>
      </c>
      <c r="D212" s="279" t="s">
        <v>2458</v>
      </c>
      <c r="E212" s="123">
        <v>14113</v>
      </c>
      <c r="F212" s="282" t="s">
        <v>13</v>
      </c>
      <c r="G212" s="576"/>
      <c r="H212" s="283" t="s">
        <v>365</v>
      </c>
      <c r="I212" s="300"/>
      <c r="J212" s="422"/>
    </row>
    <row r="213" spans="1:10" ht="43.5" customHeight="1">
      <c r="A213" s="425">
        <v>9</v>
      </c>
      <c r="B213" s="120" t="s">
        <v>632</v>
      </c>
      <c r="C213" s="196" t="s">
        <v>2496</v>
      </c>
      <c r="D213" s="279" t="s">
        <v>2494</v>
      </c>
      <c r="E213" s="123">
        <v>50270</v>
      </c>
      <c r="F213" s="289" t="s">
        <v>2495</v>
      </c>
      <c r="G213" s="282">
        <v>9971313831</v>
      </c>
      <c r="H213" s="283"/>
      <c r="I213" s="300"/>
      <c r="J213" s="422"/>
    </row>
    <row r="214" spans="1:10" ht="43.5" customHeight="1">
      <c r="A214" s="472">
        <v>10</v>
      </c>
      <c r="B214" s="120" t="s">
        <v>601</v>
      </c>
      <c r="C214" s="196" t="s">
        <v>2493</v>
      </c>
      <c r="D214" s="279" t="s">
        <v>2492</v>
      </c>
      <c r="E214" s="123">
        <v>13983</v>
      </c>
      <c r="F214" s="282" t="s">
        <v>29</v>
      </c>
      <c r="G214" s="282" t="s">
        <v>602</v>
      </c>
      <c r="H214" s="283"/>
      <c r="I214" s="300"/>
      <c r="J214" s="422"/>
    </row>
    <row r="215" spans="1:10" ht="44.15" customHeight="1">
      <c r="A215" s="472">
        <v>11</v>
      </c>
      <c r="B215" s="120" t="s">
        <v>633</v>
      </c>
      <c r="C215" s="194" t="s">
        <v>2498</v>
      </c>
      <c r="D215" s="279" t="s">
        <v>2472</v>
      </c>
      <c r="E215" s="280">
        <v>31552</v>
      </c>
      <c r="F215" s="282" t="s">
        <v>17</v>
      </c>
      <c r="G215" s="282" t="s">
        <v>634</v>
      </c>
      <c r="H215" s="283"/>
      <c r="I215" s="300"/>
      <c r="J215" s="422"/>
    </row>
    <row r="216" spans="1:10" ht="44.15" customHeight="1">
      <c r="A216" s="425">
        <v>12</v>
      </c>
      <c r="B216" s="120" t="s">
        <v>635</v>
      </c>
      <c r="C216" s="194" t="s">
        <v>2500</v>
      </c>
      <c r="D216" s="279" t="s">
        <v>2499</v>
      </c>
      <c r="E216" s="280">
        <v>27527</v>
      </c>
      <c r="F216" s="282" t="s">
        <v>377</v>
      </c>
      <c r="G216" s="282">
        <v>9811563636</v>
      </c>
      <c r="H216" s="283"/>
      <c r="I216" s="300"/>
      <c r="J216" s="422"/>
    </row>
    <row r="217" spans="1:10" ht="44.15" customHeight="1">
      <c r="A217" s="472">
        <v>13</v>
      </c>
      <c r="B217" s="120" t="s">
        <v>638</v>
      </c>
      <c r="C217" s="194" t="s">
        <v>2501</v>
      </c>
      <c r="D217" s="279" t="s">
        <v>2454</v>
      </c>
      <c r="E217" s="280">
        <v>2025</v>
      </c>
      <c r="F217" s="282" t="s">
        <v>13</v>
      </c>
      <c r="G217" s="282">
        <v>9810238957</v>
      </c>
      <c r="H217" s="283"/>
      <c r="I217" s="300"/>
      <c r="J217" s="422"/>
    </row>
    <row r="218" spans="1:10" ht="44.15" customHeight="1">
      <c r="A218" s="472">
        <v>14</v>
      </c>
      <c r="B218" s="120" t="s">
        <v>2489</v>
      </c>
      <c r="C218" s="194" t="s">
        <v>2488</v>
      </c>
      <c r="D218" s="279" t="s">
        <v>2487</v>
      </c>
      <c r="E218" s="280">
        <v>112126</v>
      </c>
      <c r="F218" s="282" t="s">
        <v>13</v>
      </c>
      <c r="G218" s="576"/>
      <c r="H218" s="283" t="s">
        <v>2486</v>
      </c>
      <c r="I218" s="300"/>
      <c r="J218" s="422"/>
    </row>
    <row r="219" spans="1:10" ht="44.15" customHeight="1">
      <c r="A219" s="425">
        <v>15</v>
      </c>
      <c r="B219" s="120" t="s">
        <v>639</v>
      </c>
      <c r="C219" s="194" t="s">
        <v>2415</v>
      </c>
      <c r="D219" s="279" t="s">
        <v>2414</v>
      </c>
      <c r="E219" s="280">
        <v>25361</v>
      </c>
      <c r="F219" s="282" t="s">
        <v>13</v>
      </c>
      <c r="G219" s="576"/>
      <c r="H219" s="283" t="s">
        <v>365</v>
      </c>
      <c r="I219" s="300"/>
      <c r="J219" s="422"/>
    </row>
    <row r="220" spans="1:10" ht="44.15" customHeight="1">
      <c r="A220" s="472">
        <v>16</v>
      </c>
      <c r="B220" s="120" t="s">
        <v>640</v>
      </c>
      <c r="C220" s="194" t="s">
        <v>2497</v>
      </c>
      <c r="D220" s="279" t="s">
        <v>2414</v>
      </c>
      <c r="E220" s="280">
        <v>33453</v>
      </c>
      <c r="F220" s="282" t="s">
        <v>13</v>
      </c>
      <c r="G220" s="282" t="s">
        <v>641</v>
      </c>
      <c r="H220" s="283"/>
      <c r="I220" s="300"/>
      <c r="J220" s="422"/>
    </row>
    <row r="221" spans="1:10" ht="44.15" customHeight="1">
      <c r="A221" s="472">
        <v>17</v>
      </c>
      <c r="B221" s="120" t="s">
        <v>642</v>
      </c>
      <c r="C221" s="194" t="s">
        <v>2469</v>
      </c>
      <c r="D221" s="279" t="s">
        <v>2419</v>
      </c>
      <c r="E221" s="280">
        <v>58750</v>
      </c>
      <c r="F221" s="282" t="s">
        <v>377</v>
      </c>
      <c r="G221" s="576"/>
      <c r="H221" s="283" t="s">
        <v>365</v>
      </c>
      <c r="I221" s="300"/>
      <c r="J221" s="422"/>
    </row>
    <row r="222" spans="1:10" ht="44.15" customHeight="1">
      <c r="A222" s="425">
        <v>18</v>
      </c>
      <c r="B222" s="120" t="s">
        <v>643</v>
      </c>
      <c r="C222" s="194" t="s">
        <v>2418</v>
      </c>
      <c r="D222" s="279" t="s">
        <v>2419</v>
      </c>
      <c r="E222" s="280">
        <v>48439</v>
      </c>
      <c r="F222" s="282" t="s">
        <v>17</v>
      </c>
      <c r="G222" s="576"/>
      <c r="H222" s="283">
        <v>9811360089</v>
      </c>
      <c r="I222" s="300"/>
      <c r="J222" s="422"/>
    </row>
    <row r="223" spans="1:10" ht="44.15" customHeight="1">
      <c r="A223" s="472">
        <v>19</v>
      </c>
      <c r="B223" s="120" t="s">
        <v>644</v>
      </c>
      <c r="C223" s="194" t="s">
        <v>2522</v>
      </c>
      <c r="D223" s="279" t="s">
        <v>2419</v>
      </c>
      <c r="E223" s="280">
        <v>56422</v>
      </c>
      <c r="F223" s="282" t="s">
        <v>69</v>
      </c>
      <c r="G223" s="35" t="s">
        <v>645</v>
      </c>
      <c r="H223" s="283"/>
      <c r="I223" s="300"/>
      <c r="J223" s="422"/>
    </row>
    <row r="224" spans="1:10" s="269" customFormat="1" ht="44" customHeight="1" thickBot="1">
      <c r="A224" s="529">
        <v>20</v>
      </c>
      <c r="B224" s="512" t="s">
        <v>646</v>
      </c>
      <c r="C224" s="488" t="s">
        <v>2524</v>
      </c>
      <c r="D224" s="489" t="s">
        <v>2455</v>
      </c>
      <c r="E224" s="490">
        <v>76207</v>
      </c>
      <c r="F224" s="491" t="s">
        <v>13</v>
      </c>
      <c r="G224" s="753"/>
      <c r="H224" s="492" t="s">
        <v>365</v>
      </c>
      <c r="I224" s="493"/>
      <c r="J224" s="435"/>
    </row>
    <row r="225" spans="1:10" s="269" customFormat="1" ht="35.5" customHeight="1" thickBot="1">
      <c r="A225" s="530"/>
      <c r="B225" s="504"/>
      <c r="C225" s="505"/>
      <c r="D225" s="506"/>
      <c r="E225" s="507"/>
      <c r="F225" s="508"/>
      <c r="G225" s="509"/>
      <c r="H225" s="510"/>
      <c r="I225" s="511"/>
      <c r="J225" s="435"/>
    </row>
    <row r="226" spans="1:10" ht="25" customHeight="1" thickBot="1">
      <c r="A226" s="427"/>
      <c r="B226" s="291"/>
      <c r="C226" s="292" t="s">
        <v>196</v>
      </c>
      <c r="D226" s="291"/>
      <c r="E226" s="291"/>
      <c r="F226" s="291"/>
      <c r="G226" s="291"/>
      <c r="H226" s="291"/>
      <c r="I226" s="298"/>
      <c r="J226" s="412">
        <v>9</v>
      </c>
    </row>
    <row r="227" spans="1:10" ht="15" customHeight="1" thickBot="1">
      <c r="A227" s="429"/>
      <c r="B227" s="312"/>
      <c r="C227" s="312"/>
      <c r="D227" s="312"/>
      <c r="E227" s="312"/>
      <c r="F227" s="312"/>
      <c r="G227" s="312"/>
      <c r="H227" s="312"/>
      <c r="I227" s="315"/>
    </row>
    <row r="228" spans="1:10" ht="25" customHeight="1" thickBot="1">
      <c r="A228" s="423" t="s">
        <v>2</v>
      </c>
      <c r="B228" s="272" t="s">
        <v>3</v>
      </c>
      <c r="C228" s="272" t="s">
        <v>4</v>
      </c>
      <c r="D228" s="273" t="s">
        <v>5</v>
      </c>
      <c r="E228" s="272" t="s">
        <v>6</v>
      </c>
      <c r="F228" s="272" t="s">
        <v>360</v>
      </c>
      <c r="G228" s="272" t="s">
        <v>8</v>
      </c>
      <c r="H228" s="272" t="s">
        <v>9</v>
      </c>
      <c r="I228" s="297" t="s">
        <v>10</v>
      </c>
    </row>
    <row r="229" spans="1:10" ht="32" customHeight="1">
      <c r="A229" s="421">
        <v>1</v>
      </c>
      <c r="B229" s="555" t="s">
        <v>647</v>
      </c>
      <c r="C229" s="198" t="s">
        <v>2538</v>
      </c>
      <c r="D229" s="496" t="s">
        <v>2537</v>
      </c>
      <c r="E229" s="308">
        <v>42198</v>
      </c>
      <c r="F229" s="296" t="s">
        <v>29</v>
      </c>
      <c r="G229" s="296" t="s">
        <v>648</v>
      </c>
      <c r="H229" s="283"/>
      <c r="I229" s="300"/>
      <c r="J229" s="422"/>
    </row>
    <row r="230" spans="1:10" s="269" customFormat="1" ht="32" customHeight="1">
      <c r="A230" s="425">
        <v>2</v>
      </c>
      <c r="B230" s="555" t="s">
        <v>649</v>
      </c>
      <c r="C230" s="284" t="s">
        <v>2533</v>
      </c>
      <c r="D230" s="495" t="s">
        <v>2534</v>
      </c>
      <c r="E230" s="310">
        <v>80602</v>
      </c>
      <c r="F230" s="287" t="s">
        <v>17</v>
      </c>
      <c r="G230" s="287" t="s">
        <v>650</v>
      </c>
      <c r="H230" s="288"/>
      <c r="I230" s="316"/>
      <c r="J230" s="435"/>
    </row>
    <row r="231" spans="1:10" s="269" customFormat="1" ht="32" customHeight="1">
      <c r="A231" s="425">
        <v>3</v>
      </c>
      <c r="B231" s="555" t="s">
        <v>651</v>
      </c>
      <c r="C231" s="284" t="s">
        <v>2532</v>
      </c>
      <c r="D231" s="495" t="s">
        <v>654</v>
      </c>
      <c r="E231" s="310">
        <v>52601</v>
      </c>
      <c r="F231" s="287" t="s">
        <v>223</v>
      </c>
      <c r="G231" s="287">
        <v>9810033147</v>
      </c>
      <c r="H231" s="288" t="s">
        <v>365</v>
      </c>
      <c r="I231" s="316"/>
      <c r="J231" s="435"/>
    </row>
    <row r="232" spans="1:10" ht="32" customHeight="1">
      <c r="A232" s="425">
        <v>4</v>
      </c>
      <c r="B232" s="555" t="s">
        <v>652</v>
      </c>
      <c r="C232" s="194" t="s">
        <v>653</v>
      </c>
      <c r="D232" s="319" t="s">
        <v>654</v>
      </c>
      <c r="E232" s="308">
        <v>51983</v>
      </c>
      <c r="F232" s="282" t="s">
        <v>17</v>
      </c>
      <c r="G232" s="282">
        <v>9312699373</v>
      </c>
      <c r="H232" s="283"/>
      <c r="I232" s="300"/>
      <c r="J232" s="422"/>
    </row>
    <row r="233" spans="1:10" ht="32" customHeight="1">
      <c r="A233" s="425">
        <v>5</v>
      </c>
      <c r="B233" s="555" t="s">
        <v>655</v>
      </c>
      <c r="C233" s="194" t="s">
        <v>2589</v>
      </c>
      <c r="D233" s="319" t="s">
        <v>2588</v>
      </c>
      <c r="E233" s="308">
        <v>19409</v>
      </c>
      <c r="F233" s="282" t="s">
        <v>223</v>
      </c>
      <c r="G233" s="282">
        <v>7838015890</v>
      </c>
      <c r="H233" s="283"/>
      <c r="I233" s="300"/>
      <c r="J233" s="422"/>
    </row>
    <row r="234" spans="1:10" ht="32" customHeight="1">
      <c r="A234" s="425">
        <v>6</v>
      </c>
      <c r="B234" s="555" t="s">
        <v>657</v>
      </c>
      <c r="C234" s="194" t="s">
        <v>658</v>
      </c>
      <c r="D234" s="319" t="s">
        <v>659</v>
      </c>
      <c r="E234" s="308">
        <v>43262</v>
      </c>
      <c r="F234" s="282" t="s">
        <v>13</v>
      </c>
      <c r="G234" s="282">
        <v>7054191993</v>
      </c>
      <c r="H234" s="283"/>
      <c r="I234" s="300"/>
      <c r="J234" s="422"/>
    </row>
    <row r="235" spans="1:10" ht="32" customHeight="1">
      <c r="A235" s="425">
        <v>7</v>
      </c>
      <c r="B235" s="555" t="s">
        <v>2632</v>
      </c>
      <c r="C235" s="194" t="s">
        <v>2633</v>
      </c>
      <c r="D235" s="319" t="s">
        <v>2590</v>
      </c>
      <c r="E235" s="308">
        <v>36852</v>
      </c>
      <c r="F235" s="282" t="s">
        <v>13</v>
      </c>
      <c r="G235" s="282">
        <v>9416747675</v>
      </c>
      <c r="H235" s="283"/>
      <c r="I235" s="300"/>
      <c r="J235" s="422"/>
    </row>
    <row r="236" spans="1:10" ht="32" customHeight="1">
      <c r="A236" s="425">
        <v>8</v>
      </c>
      <c r="B236" s="555" t="s">
        <v>661</v>
      </c>
      <c r="C236" s="194" t="s">
        <v>2591</v>
      </c>
      <c r="D236" s="319" t="s">
        <v>2590</v>
      </c>
      <c r="E236" s="308">
        <v>14349</v>
      </c>
      <c r="F236" s="282" t="s">
        <v>13</v>
      </c>
      <c r="G236" s="282">
        <v>8059894483</v>
      </c>
      <c r="H236" s="283"/>
      <c r="I236" s="300"/>
      <c r="J236" s="422"/>
    </row>
    <row r="237" spans="1:10" ht="32" customHeight="1">
      <c r="A237" s="425">
        <v>9</v>
      </c>
      <c r="B237" s="555" t="s">
        <v>3691</v>
      </c>
      <c r="C237" s="194" t="s">
        <v>2536</v>
      </c>
      <c r="D237" s="319" t="s">
        <v>2535</v>
      </c>
      <c r="E237" s="308">
        <v>121299</v>
      </c>
      <c r="F237" s="282" t="s">
        <v>17</v>
      </c>
      <c r="G237" s="282">
        <v>9910103477</v>
      </c>
      <c r="H237" s="283">
        <v>7011984285</v>
      </c>
      <c r="I237" s="300"/>
      <c r="J237" s="422"/>
    </row>
    <row r="238" spans="1:10" ht="32" customHeight="1">
      <c r="A238" s="425">
        <v>10</v>
      </c>
      <c r="B238" s="555" t="s">
        <v>662</v>
      </c>
      <c r="C238" s="194" t="s">
        <v>663</v>
      </c>
      <c r="D238" s="319" t="s">
        <v>664</v>
      </c>
      <c r="E238" s="308">
        <v>75236</v>
      </c>
      <c r="F238" s="282" t="s">
        <v>29</v>
      </c>
      <c r="G238" s="282">
        <v>9278887664</v>
      </c>
      <c r="H238" s="283"/>
      <c r="I238" s="300"/>
      <c r="J238" s="422"/>
    </row>
    <row r="239" spans="1:10" ht="32" customHeight="1">
      <c r="A239" s="425">
        <v>11</v>
      </c>
      <c r="B239" s="555" t="s">
        <v>665</v>
      </c>
      <c r="C239" s="194" t="s">
        <v>2602</v>
      </c>
      <c r="D239" s="319" t="s">
        <v>2601</v>
      </c>
      <c r="E239" s="308">
        <v>73002</v>
      </c>
      <c r="F239" s="282" t="s">
        <v>69</v>
      </c>
      <c r="G239" s="282">
        <v>9868042874</v>
      </c>
      <c r="H239" s="283" t="s">
        <v>2773</v>
      </c>
      <c r="I239" s="300"/>
      <c r="J239" s="422"/>
    </row>
    <row r="240" spans="1:10" ht="32" customHeight="1">
      <c r="A240" s="425">
        <v>12</v>
      </c>
      <c r="B240" s="555" t="s">
        <v>2562</v>
      </c>
      <c r="C240" s="194" t="s">
        <v>2561</v>
      </c>
      <c r="D240" s="319" t="s">
        <v>2560</v>
      </c>
      <c r="E240" s="308">
        <v>175322</v>
      </c>
      <c r="F240" s="282" t="s">
        <v>223</v>
      </c>
      <c r="G240" s="576"/>
      <c r="H240" s="283" t="s">
        <v>365</v>
      </c>
      <c r="I240" s="300"/>
      <c r="J240" s="422"/>
    </row>
    <row r="241" spans="1:10" ht="32" customHeight="1">
      <c r="A241" s="425">
        <v>13</v>
      </c>
      <c r="B241" s="555" t="s">
        <v>636</v>
      </c>
      <c r="C241" s="194" t="s">
        <v>2640</v>
      </c>
      <c r="D241" s="319" t="s">
        <v>2584</v>
      </c>
      <c r="E241" s="308">
        <v>27631</v>
      </c>
      <c r="F241" s="282" t="s">
        <v>17</v>
      </c>
      <c r="G241" s="282" t="s">
        <v>637</v>
      </c>
      <c r="H241" s="283"/>
      <c r="I241" s="300"/>
      <c r="J241" s="422"/>
    </row>
    <row r="242" spans="1:10" ht="32" customHeight="1">
      <c r="A242" s="425">
        <v>14</v>
      </c>
      <c r="B242" s="555" t="s">
        <v>668</v>
      </c>
      <c r="C242" s="194" t="s">
        <v>2631</v>
      </c>
      <c r="D242" s="319" t="s">
        <v>2574</v>
      </c>
      <c r="E242" s="308">
        <v>27388</v>
      </c>
      <c r="F242" s="282" t="s">
        <v>69</v>
      </c>
      <c r="G242" s="282">
        <v>9891248380</v>
      </c>
      <c r="H242" s="283"/>
      <c r="I242" s="300"/>
      <c r="J242" s="422"/>
    </row>
    <row r="243" spans="1:10" ht="32" customHeight="1">
      <c r="A243" s="425">
        <v>15</v>
      </c>
      <c r="B243" s="555" t="s">
        <v>669</v>
      </c>
      <c r="C243" s="194" t="s">
        <v>2565</v>
      </c>
      <c r="D243" s="319" t="s">
        <v>2564</v>
      </c>
      <c r="E243" s="308">
        <v>26942</v>
      </c>
      <c r="F243" s="282" t="s">
        <v>13</v>
      </c>
      <c r="G243" s="576"/>
      <c r="H243" s="283" t="s">
        <v>365</v>
      </c>
      <c r="I243" s="300"/>
      <c r="J243" s="422"/>
    </row>
    <row r="244" spans="1:10" ht="32" customHeight="1">
      <c r="A244" s="425">
        <v>16</v>
      </c>
      <c r="B244" s="555" t="s">
        <v>670</v>
      </c>
      <c r="C244" s="194" t="s">
        <v>2639</v>
      </c>
      <c r="D244" s="319" t="s">
        <v>2546</v>
      </c>
      <c r="E244" s="308">
        <v>32546</v>
      </c>
      <c r="F244" s="282" t="s">
        <v>17</v>
      </c>
      <c r="G244" s="1107" t="s">
        <v>671</v>
      </c>
      <c r="H244" s="1115"/>
      <c r="I244" s="1131"/>
      <c r="J244" s="422"/>
    </row>
    <row r="245" spans="1:10" s="6" customFormat="1" ht="32" customHeight="1">
      <c r="A245" s="425">
        <v>17</v>
      </c>
      <c r="B245" s="555" t="s">
        <v>672</v>
      </c>
      <c r="C245" s="194" t="s">
        <v>2654</v>
      </c>
      <c r="D245" s="319" t="s">
        <v>2597</v>
      </c>
      <c r="E245" s="308">
        <v>27678</v>
      </c>
      <c r="F245" s="282" t="s">
        <v>17</v>
      </c>
      <c r="G245" s="1108"/>
      <c r="H245" s="1116"/>
      <c r="I245" s="1132"/>
      <c r="J245" s="409"/>
    </row>
    <row r="246" spans="1:10" ht="32" customHeight="1">
      <c r="A246" s="425">
        <v>18</v>
      </c>
      <c r="B246" s="555" t="s">
        <v>673</v>
      </c>
      <c r="C246" s="194" t="s">
        <v>674</v>
      </c>
      <c r="D246" s="319" t="s">
        <v>675</v>
      </c>
      <c r="E246" s="308">
        <v>42414</v>
      </c>
      <c r="F246" s="282" t="s">
        <v>13</v>
      </c>
      <c r="G246" s="282">
        <v>9718809933</v>
      </c>
      <c r="H246" s="283"/>
      <c r="I246" s="300"/>
      <c r="J246" s="422"/>
    </row>
    <row r="247" spans="1:10" ht="32" customHeight="1">
      <c r="A247" s="425">
        <v>19</v>
      </c>
      <c r="B247" s="555" t="s">
        <v>680</v>
      </c>
      <c r="C247" s="194" t="s">
        <v>2612</v>
      </c>
      <c r="D247" s="319" t="s">
        <v>2610</v>
      </c>
      <c r="E247" s="308">
        <v>4443</v>
      </c>
      <c r="F247" s="282" t="s">
        <v>21</v>
      </c>
      <c r="G247" s="282">
        <v>9560750830</v>
      </c>
      <c r="H247" s="283"/>
      <c r="I247" s="300"/>
      <c r="J247" s="422"/>
    </row>
    <row r="248" spans="1:10" ht="32" customHeight="1">
      <c r="A248" s="425">
        <v>20</v>
      </c>
      <c r="B248" s="555" t="s">
        <v>684</v>
      </c>
      <c r="C248" s="194" t="s">
        <v>2635</v>
      </c>
      <c r="D248" s="319" t="s">
        <v>2634</v>
      </c>
      <c r="E248" s="308">
        <v>14883</v>
      </c>
      <c r="F248" s="282" t="s">
        <v>17</v>
      </c>
      <c r="G248" s="282" t="s">
        <v>685</v>
      </c>
      <c r="H248" s="283"/>
      <c r="I248" s="300"/>
      <c r="J248" s="422"/>
    </row>
    <row r="249" spans="1:10" ht="32" customHeight="1">
      <c r="A249" s="425">
        <v>21</v>
      </c>
      <c r="B249" s="555" t="s">
        <v>656</v>
      </c>
      <c r="C249" s="194" t="s">
        <v>2664</v>
      </c>
      <c r="D249" s="319" t="s">
        <v>2518</v>
      </c>
      <c r="E249" s="308">
        <v>19389</v>
      </c>
      <c r="F249" s="282" t="s">
        <v>17</v>
      </c>
      <c r="G249" s="282">
        <v>9719582598</v>
      </c>
      <c r="H249" s="283"/>
      <c r="I249" s="300"/>
      <c r="J249" s="422"/>
    </row>
    <row r="250" spans="1:10" ht="32" customHeight="1">
      <c r="A250" s="425">
        <v>22</v>
      </c>
      <c r="B250" s="555" t="s">
        <v>686</v>
      </c>
      <c r="C250" s="194" t="s">
        <v>2676</v>
      </c>
      <c r="D250" s="319" t="s">
        <v>2518</v>
      </c>
      <c r="E250" s="308">
        <v>43066</v>
      </c>
      <c r="F250" s="282" t="s">
        <v>17</v>
      </c>
      <c r="G250" s="282">
        <v>9899843220</v>
      </c>
      <c r="H250" s="283"/>
      <c r="I250" s="300"/>
      <c r="J250" s="422"/>
    </row>
    <row r="251" spans="1:10" ht="32" customHeight="1">
      <c r="A251" s="425">
        <v>23</v>
      </c>
      <c r="B251" s="555" t="s">
        <v>687</v>
      </c>
      <c r="C251" s="194" t="s">
        <v>2636</v>
      </c>
      <c r="D251" s="319" t="s">
        <v>2518</v>
      </c>
      <c r="E251" s="308">
        <v>37419</v>
      </c>
      <c r="F251" s="282" t="s">
        <v>13</v>
      </c>
      <c r="G251" s="282">
        <v>9718338550</v>
      </c>
      <c r="H251" s="283"/>
      <c r="I251" s="300"/>
      <c r="J251" s="422"/>
    </row>
    <row r="252" spans="1:10" ht="32" customHeight="1">
      <c r="A252" s="425">
        <v>24</v>
      </c>
      <c r="B252" s="555" t="s">
        <v>688</v>
      </c>
      <c r="C252" s="194" t="s">
        <v>2611</v>
      </c>
      <c r="D252" s="319" t="s">
        <v>2518</v>
      </c>
      <c r="E252" s="308">
        <v>25364</v>
      </c>
      <c r="F252" s="282" t="s">
        <v>29</v>
      </c>
      <c r="G252" s="282" t="s">
        <v>689</v>
      </c>
      <c r="H252" s="283"/>
      <c r="I252" s="300"/>
      <c r="J252" s="422"/>
    </row>
    <row r="253" spans="1:10" ht="32" customHeight="1">
      <c r="A253" s="425">
        <v>25</v>
      </c>
      <c r="B253" s="555" t="s">
        <v>690</v>
      </c>
      <c r="C253" s="194" t="s">
        <v>2628</v>
      </c>
      <c r="D253" s="319" t="s">
        <v>2627</v>
      </c>
      <c r="E253" s="308">
        <v>44722</v>
      </c>
      <c r="F253" s="282" t="s">
        <v>17</v>
      </c>
      <c r="G253" s="282">
        <v>9311257157</v>
      </c>
      <c r="H253" s="283">
        <v>7827141361</v>
      </c>
      <c r="I253" s="300"/>
      <c r="J253" s="422"/>
    </row>
    <row r="254" spans="1:10" ht="32" customHeight="1">
      <c r="A254" s="425">
        <v>26</v>
      </c>
      <c r="B254" s="555" t="s">
        <v>697</v>
      </c>
      <c r="C254" s="194" t="s">
        <v>2655</v>
      </c>
      <c r="D254" s="319" t="s">
        <v>2627</v>
      </c>
      <c r="E254" s="308">
        <v>79355</v>
      </c>
      <c r="F254" s="282" t="s">
        <v>17</v>
      </c>
      <c r="G254" s="282">
        <v>9910044428</v>
      </c>
      <c r="H254" s="283"/>
      <c r="I254" s="300"/>
      <c r="J254" s="422"/>
    </row>
    <row r="255" spans="1:10" ht="32" customHeight="1">
      <c r="A255" s="425">
        <v>27</v>
      </c>
      <c r="B255" s="555" t="s">
        <v>700</v>
      </c>
      <c r="C255" s="194" t="s">
        <v>2665</v>
      </c>
      <c r="D255" s="319" t="s">
        <v>2660</v>
      </c>
      <c r="E255" s="308">
        <v>41878</v>
      </c>
      <c r="F255" s="282" t="s">
        <v>223</v>
      </c>
      <c r="G255" s="282">
        <v>9811684767</v>
      </c>
      <c r="H255" s="283" t="s">
        <v>140</v>
      </c>
      <c r="I255" s="300"/>
      <c r="J255" s="422"/>
    </row>
    <row r="256" spans="1:10" ht="32" customHeight="1" thickBot="1">
      <c r="A256" s="426">
        <v>28</v>
      </c>
      <c r="B256" s="557" t="s">
        <v>702</v>
      </c>
      <c r="C256" s="199" t="s">
        <v>703</v>
      </c>
      <c r="D256" s="483" t="s">
        <v>704</v>
      </c>
      <c r="E256" s="484">
        <v>103518</v>
      </c>
      <c r="F256" s="119" t="s">
        <v>13</v>
      </c>
      <c r="G256" s="119" t="s">
        <v>705</v>
      </c>
      <c r="H256" s="304"/>
      <c r="I256" s="311"/>
    </row>
    <row r="257" spans="1:10" ht="30" customHeight="1" thickBot="1">
      <c r="A257" s="427"/>
      <c r="B257" s="291"/>
      <c r="C257" s="292" t="s">
        <v>229</v>
      </c>
      <c r="D257" s="291"/>
      <c r="E257" s="291"/>
      <c r="F257" s="291"/>
      <c r="G257" s="291"/>
      <c r="H257" s="291"/>
      <c r="I257" s="298"/>
      <c r="J257" s="412">
        <v>10</v>
      </c>
    </row>
    <row r="258" spans="1:10" ht="16" thickBot="1">
      <c r="A258" s="429"/>
      <c r="B258" s="312"/>
      <c r="C258" s="312"/>
      <c r="D258" s="312"/>
      <c r="E258" s="312"/>
      <c r="F258" s="312"/>
      <c r="G258" s="312"/>
      <c r="H258" s="312"/>
      <c r="I258" s="315"/>
    </row>
    <row r="259" spans="1:10" ht="25" customHeight="1" thickBot="1">
      <c r="A259" s="423" t="s">
        <v>2</v>
      </c>
      <c r="B259" s="272" t="s">
        <v>3</v>
      </c>
      <c r="C259" s="272" t="s">
        <v>4</v>
      </c>
      <c r="D259" s="273" t="s">
        <v>5</v>
      </c>
      <c r="E259" s="272" t="s">
        <v>6</v>
      </c>
      <c r="F259" s="272" t="s">
        <v>360</v>
      </c>
      <c r="G259" s="272" t="s">
        <v>8</v>
      </c>
      <c r="H259" s="531" t="s">
        <v>9</v>
      </c>
      <c r="I259" s="297" t="s">
        <v>10</v>
      </c>
    </row>
    <row r="260" spans="1:10" ht="40" customHeight="1">
      <c r="A260" s="424">
        <v>1</v>
      </c>
      <c r="B260" s="120" t="s">
        <v>706</v>
      </c>
      <c r="C260" s="274" t="s">
        <v>2673</v>
      </c>
      <c r="D260" s="275" t="s">
        <v>2672</v>
      </c>
      <c r="E260" s="276">
        <v>51984</v>
      </c>
      <c r="F260" s="277" t="s">
        <v>17</v>
      </c>
      <c r="G260" s="277">
        <v>7065774786</v>
      </c>
      <c r="H260" s="278"/>
      <c r="I260" s="537"/>
      <c r="J260" s="422"/>
    </row>
    <row r="261" spans="1:10" ht="40" customHeight="1">
      <c r="A261" s="425">
        <v>2</v>
      </c>
      <c r="B261" s="120" t="s">
        <v>707</v>
      </c>
      <c r="C261" s="194" t="s">
        <v>2671</v>
      </c>
      <c r="D261" s="279" t="s">
        <v>2670</v>
      </c>
      <c r="E261" s="280">
        <v>43825</v>
      </c>
      <c r="F261" s="282" t="s">
        <v>223</v>
      </c>
      <c r="G261" s="289">
        <v>9899741166</v>
      </c>
      <c r="H261" s="318" t="s">
        <v>708</v>
      </c>
      <c r="I261" s="300"/>
      <c r="J261" s="422"/>
    </row>
    <row r="262" spans="1:10" ht="40" customHeight="1">
      <c r="A262" s="425">
        <v>3</v>
      </c>
      <c r="B262" s="120" t="s">
        <v>2641</v>
      </c>
      <c r="C262" s="194" t="s">
        <v>2643</v>
      </c>
      <c r="D262" s="279" t="s">
        <v>2642</v>
      </c>
      <c r="E262" s="280">
        <v>29589</v>
      </c>
      <c r="F262" s="282" t="s">
        <v>13</v>
      </c>
      <c r="G262" s="289">
        <v>8282850583</v>
      </c>
      <c r="H262" s="318"/>
      <c r="I262" s="300"/>
      <c r="J262" s="422"/>
    </row>
    <row r="263" spans="1:10" ht="40" customHeight="1">
      <c r="A263" s="425">
        <v>4</v>
      </c>
      <c r="B263" s="120" t="s">
        <v>660</v>
      </c>
      <c r="C263" s="194" t="s">
        <v>2677</v>
      </c>
      <c r="D263" s="279" t="s">
        <v>2642</v>
      </c>
      <c r="E263" s="280">
        <v>21287</v>
      </c>
      <c r="F263" s="282" t="s">
        <v>29</v>
      </c>
      <c r="G263" s="289">
        <v>9810208473</v>
      </c>
      <c r="H263" s="318"/>
      <c r="I263" s="300"/>
      <c r="J263" s="422"/>
    </row>
    <row r="264" spans="1:10" ht="40" customHeight="1">
      <c r="A264" s="425">
        <v>5</v>
      </c>
      <c r="B264" s="120" t="s">
        <v>710</v>
      </c>
      <c r="C264" s="194" t="s">
        <v>2647</v>
      </c>
      <c r="D264" s="279" t="s">
        <v>711</v>
      </c>
      <c r="E264" s="280">
        <v>55561</v>
      </c>
      <c r="F264" s="289" t="s">
        <v>2781</v>
      </c>
      <c r="G264" s="289">
        <v>9811439589</v>
      </c>
      <c r="H264" s="318"/>
      <c r="I264" s="300"/>
    </row>
    <row r="265" spans="1:10" ht="40" customHeight="1">
      <c r="A265" s="425">
        <v>6</v>
      </c>
      <c r="B265" s="120" t="s">
        <v>712</v>
      </c>
      <c r="C265" s="194" t="s">
        <v>2650</v>
      </c>
      <c r="D265" s="279" t="s">
        <v>2649</v>
      </c>
      <c r="E265" s="280">
        <v>66396</v>
      </c>
      <c r="F265" s="289" t="s">
        <v>13</v>
      </c>
      <c r="G265" s="289">
        <v>9873445530</v>
      </c>
      <c r="H265" s="318"/>
      <c r="I265" s="300"/>
    </row>
    <row r="266" spans="1:10" ht="40" customHeight="1">
      <c r="A266" s="425">
        <v>7</v>
      </c>
      <c r="B266" s="120" t="s">
        <v>713</v>
      </c>
      <c r="C266" s="194" t="s">
        <v>2668</v>
      </c>
      <c r="D266" s="279" t="s">
        <v>2669</v>
      </c>
      <c r="E266" s="280">
        <v>64345</v>
      </c>
      <c r="F266" s="289" t="s">
        <v>24</v>
      </c>
      <c r="G266" s="289">
        <v>9654165135</v>
      </c>
      <c r="H266" s="318"/>
      <c r="I266" s="300"/>
    </row>
    <row r="267" spans="1:10" ht="40" customHeight="1">
      <c r="A267" s="425">
        <v>8</v>
      </c>
      <c r="B267" s="120" t="s">
        <v>714</v>
      </c>
      <c r="C267" s="194" t="s">
        <v>2711</v>
      </c>
      <c r="D267" s="279" t="s">
        <v>2662</v>
      </c>
      <c r="E267" s="280">
        <v>36863</v>
      </c>
      <c r="F267" s="289" t="s">
        <v>17</v>
      </c>
      <c r="G267" s="289">
        <v>9911686140</v>
      </c>
      <c r="H267" s="318"/>
      <c r="I267" s="300"/>
    </row>
    <row r="268" spans="1:10" ht="40" customHeight="1">
      <c r="A268" s="425">
        <v>9</v>
      </c>
      <c r="B268" s="120" t="s">
        <v>2681</v>
      </c>
      <c r="C268" s="194" t="s">
        <v>2682</v>
      </c>
      <c r="D268" s="279" t="s">
        <v>2630</v>
      </c>
      <c r="E268" s="280">
        <v>36775</v>
      </c>
      <c r="F268" s="289" t="s">
        <v>69</v>
      </c>
      <c r="G268" s="576"/>
      <c r="H268" s="318"/>
      <c r="I268" s="300"/>
    </row>
    <row r="269" spans="1:10" ht="40" customHeight="1">
      <c r="A269" s="425">
        <v>10</v>
      </c>
      <c r="B269" s="120" t="s">
        <v>715</v>
      </c>
      <c r="C269" s="194" t="s">
        <v>2686</v>
      </c>
      <c r="D269" s="279" t="s">
        <v>244</v>
      </c>
      <c r="E269" s="280">
        <v>32664</v>
      </c>
      <c r="F269" s="289" t="s">
        <v>17</v>
      </c>
      <c r="G269" s="289">
        <v>8130811919</v>
      </c>
      <c r="H269" s="318"/>
      <c r="I269" s="300"/>
    </row>
    <row r="270" spans="1:10" ht="40" customHeight="1">
      <c r="A270" s="425">
        <v>11</v>
      </c>
      <c r="B270" s="120" t="s">
        <v>716</v>
      </c>
      <c r="C270" s="194" t="s">
        <v>2648</v>
      </c>
      <c r="D270" s="279" t="s">
        <v>717</v>
      </c>
      <c r="E270" s="280">
        <v>60658</v>
      </c>
      <c r="F270" s="282" t="s">
        <v>13</v>
      </c>
      <c r="G270" s="282" t="s">
        <v>718</v>
      </c>
      <c r="H270" s="283"/>
      <c r="I270" s="300"/>
    </row>
    <row r="271" spans="1:10" ht="40" customHeight="1">
      <c r="A271" s="425">
        <v>12</v>
      </c>
      <c r="B271" s="120" t="s">
        <v>719</v>
      </c>
      <c r="C271" s="194" t="s">
        <v>2712</v>
      </c>
      <c r="D271" s="279" t="s">
        <v>2699</v>
      </c>
      <c r="E271" s="280">
        <v>34479</v>
      </c>
      <c r="F271" s="282" t="s">
        <v>69</v>
      </c>
      <c r="G271" s="576"/>
      <c r="H271" s="283" t="s">
        <v>579</v>
      </c>
      <c r="I271" s="300"/>
    </row>
    <row r="272" spans="1:10" ht="40" customHeight="1">
      <c r="A272" s="425">
        <v>13</v>
      </c>
      <c r="B272" s="120" t="s">
        <v>723</v>
      </c>
      <c r="C272" s="194" t="s">
        <v>2747</v>
      </c>
      <c r="D272" s="279" t="s">
        <v>2549</v>
      </c>
      <c r="E272" s="280">
        <v>44586</v>
      </c>
      <c r="F272" s="289" t="s">
        <v>69</v>
      </c>
      <c r="G272" s="282">
        <v>9818315352</v>
      </c>
      <c r="H272" s="318" t="s">
        <v>593</v>
      </c>
      <c r="I272" s="538"/>
      <c r="J272" s="422"/>
    </row>
    <row r="273" spans="1:10" ht="40" customHeight="1">
      <c r="A273" s="425">
        <v>14</v>
      </c>
      <c r="B273" s="120" t="s">
        <v>701</v>
      </c>
      <c r="C273" s="194" t="s">
        <v>2754</v>
      </c>
      <c r="D273" s="279" t="s">
        <v>2751</v>
      </c>
      <c r="E273" s="280">
        <v>29011</v>
      </c>
      <c r="F273" s="289" t="s">
        <v>17</v>
      </c>
      <c r="G273" s="282">
        <v>9717087717</v>
      </c>
      <c r="H273" s="318"/>
      <c r="I273" s="538"/>
      <c r="J273" s="422"/>
    </row>
    <row r="274" spans="1:10" ht="40" customHeight="1">
      <c r="A274" s="425">
        <v>15</v>
      </c>
      <c r="B274" s="120" t="s">
        <v>2755</v>
      </c>
      <c r="C274" s="194" t="s">
        <v>2761</v>
      </c>
      <c r="D274" s="279" t="s">
        <v>2729</v>
      </c>
      <c r="E274" s="280">
        <v>15190</v>
      </c>
      <c r="F274" s="289" t="s">
        <v>17</v>
      </c>
      <c r="G274" s="282">
        <v>9873780437</v>
      </c>
      <c r="H274" s="318"/>
      <c r="I274" s="538"/>
      <c r="J274" s="422"/>
    </row>
    <row r="275" spans="1:10" ht="40" customHeight="1">
      <c r="A275" s="425">
        <v>16</v>
      </c>
      <c r="B275" s="120" t="s">
        <v>2749</v>
      </c>
      <c r="C275" s="194" t="s">
        <v>2750</v>
      </c>
      <c r="D275" s="279" t="s">
        <v>2751</v>
      </c>
      <c r="E275" s="280">
        <v>4231</v>
      </c>
      <c r="F275" s="289" t="s">
        <v>21</v>
      </c>
      <c r="G275" s="282" t="s">
        <v>634</v>
      </c>
      <c r="H275" s="318"/>
      <c r="I275" s="538"/>
      <c r="J275" s="422"/>
    </row>
    <row r="276" spans="1:10" ht="40" customHeight="1">
      <c r="A276" s="425">
        <v>17</v>
      </c>
      <c r="B276" s="120" t="s">
        <v>2850</v>
      </c>
      <c r="C276" s="194" t="s">
        <v>2722</v>
      </c>
      <c r="D276" s="279" t="s">
        <v>2723</v>
      </c>
      <c r="E276" s="280">
        <v>49770</v>
      </c>
      <c r="F276" s="289" t="s">
        <v>29</v>
      </c>
      <c r="G276" s="282" t="s">
        <v>731</v>
      </c>
      <c r="H276" s="318"/>
      <c r="I276" s="538"/>
      <c r="J276" s="422"/>
    </row>
    <row r="277" spans="1:10" ht="40" customHeight="1">
      <c r="A277" s="425">
        <v>18</v>
      </c>
      <c r="B277" s="120" t="s">
        <v>732</v>
      </c>
      <c r="C277" s="194" t="s">
        <v>2762</v>
      </c>
      <c r="D277" s="279" t="s">
        <v>1011</v>
      </c>
      <c r="E277" s="280">
        <v>46038</v>
      </c>
      <c r="F277" s="289" t="s">
        <v>69</v>
      </c>
      <c r="G277" s="282" t="s">
        <v>733</v>
      </c>
      <c r="H277" s="318" t="s">
        <v>365</v>
      </c>
      <c r="I277" s="538"/>
      <c r="J277" s="422"/>
    </row>
    <row r="278" spans="1:10" ht="40" customHeight="1">
      <c r="A278" s="425">
        <v>19</v>
      </c>
      <c r="B278" s="120" t="s">
        <v>2563</v>
      </c>
      <c r="C278" s="194" t="s">
        <v>2746</v>
      </c>
      <c r="D278" s="279" t="s">
        <v>2684</v>
      </c>
      <c r="E278" s="280">
        <v>38092</v>
      </c>
      <c r="F278" s="289" t="s">
        <v>223</v>
      </c>
      <c r="G278" s="282">
        <v>9999357373</v>
      </c>
      <c r="H278" s="318" t="s">
        <v>365</v>
      </c>
      <c r="I278" s="538"/>
      <c r="J278" s="422"/>
    </row>
    <row r="279" spans="1:10" ht="40" customHeight="1">
      <c r="A279" s="425">
        <v>20</v>
      </c>
      <c r="B279" s="120" t="s">
        <v>734</v>
      </c>
      <c r="C279" s="194" t="s">
        <v>2739</v>
      </c>
      <c r="D279" s="279" t="s">
        <v>2684</v>
      </c>
      <c r="E279" s="280">
        <v>33232</v>
      </c>
      <c r="F279" s="289" t="s">
        <v>17</v>
      </c>
      <c r="G279" s="282">
        <v>9911445877</v>
      </c>
      <c r="H279" s="318"/>
      <c r="I279" s="538"/>
      <c r="J279" s="422"/>
    </row>
    <row r="280" spans="1:10" ht="40" customHeight="1">
      <c r="A280" s="425">
        <v>21</v>
      </c>
      <c r="B280" s="120" t="s">
        <v>2683</v>
      </c>
      <c r="C280" s="194" t="s">
        <v>2685</v>
      </c>
      <c r="D280" s="279" t="s">
        <v>2684</v>
      </c>
      <c r="E280" s="280">
        <v>41493</v>
      </c>
      <c r="F280" s="289" t="s">
        <v>2780</v>
      </c>
      <c r="G280" s="576"/>
      <c r="H280" s="318" t="s">
        <v>2743</v>
      </c>
      <c r="I280" s="538"/>
      <c r="J280" s="422"/>
    </row>
    <row r="281" spans="1:10" ht="40" customHeight="1">
      <c r="A281" s="425">
        <v>22</v>
      </c>
      <c r="B281" s="120" t="s">
        <v>735</v>
      </c>
      <c r="C281" s="194" t="s">
        <v>2789</v>
      </c>
      <c r="D281" s="279" t="s">
        <v>2684</v>
      </c>
      <c r="E281" s="280">
        <v>31421</v>
      </c>
      <c r="F281" s="289" t="s">
        <v>13</v>
      </c>
      <c r="G281" s="282">
        <v>9999288401</v>
      </c>
      <c r="H281" s="318"/>
      <c r="I281" s="538"/>
      <c r="J281" s="422"/>
    </row>
    <row r="282" spans="1:10" s="548" customFormat="1" ht="40" customHeight="1" thickBot="1">
      <c r="A282" s="426">
        <v>23</v>
      </c>
      <c r="B282" s="570" t="s">
        <v>736</v>
      </c>
      <c r="C282" s="197" t="s">
        <v>2748</v>
      </c>
      <c r="D282" s="329" t="s">
        <v>2684</v>
      </c>
      <c r="E282" s="330">
        <v>40902</v>
      </c>
      <c r="F282" s="313" t="s">
        <v>13</v>
      </c>
      <c r="G282" s="313">
        <v>9711790045</v>
      </c>
      <c r="H282" s="326"/>
      <c r="I282" s="336"/>
      <c r="J282" s="569"/>
    </row>
    <row r="283" spans="1:10" ht="30" customHeight="1" thickBot="1">
      <c r="A283" s="427"/>
      <c r="B283" s="291"/>
      <c r="C283" s="292" t="s">
        <v>263</v>
      </c>
      <c r="D283" s="291"/>
      <c r="E283" s="291"/>
      <c r="F283" s="291"/>
      <c r="G283" s="291"/>
      <c r="H283" s="291"/>
      <c r="I283" s="298"/>
      <c r="J283" s="412">
        <v>11</v>
      </c>
    </row>
    <row r="284" spans="1:10" ht="16" thickBot="1">
      <c r="A284" s="429"/>
      <c r="B284" s="312"/>
      <c r="C284" s="312"/>
      <c r="D284" s="312"/>
      <c r="E284" s="312"/>
      <c r="F284" s="312"/>
      <c r="G284" s="312"/>
      <c r="H284" s="312"/>
      <c r="I284" s="315"/>
    </row>
    <row r="285" spans="1:10" ht="25" customHeight="1" thickBot="1">
      <c r="A285" s="423" t="s">
        <v>2</v>
      </c>
      <c r="B285" s="272" t="s">
        <v>3</v>
      </c>
      <c r="C285" s="272" t="s">
        <v>4</v>
      </c>
      <c r="D285" s="273" t="s">
        <v>5</v>
      </c>
      <c r="E285" s="272" t="s">
        <v>6</v>
      </c>
      <c r="F285" s="272" t="s">
        <v>360</v>
      </c>
      <c r="G285" s="272" t="s">
        <v>8</v>
      </c>
      <c r="H285" s="272" t="s">
        <v>9</v>
      </c>
      <c r="I285" s="297" t="s">
        <v>10</v>
      </c>
    </row>
    <row r="286" spans="1:10" ht="41" customHeight="1">
      <c r="A286" s="425">
        <v>1</v>
      </c>
      <c r="B286" s="120" t="s">
        <v>262</v>
      </c>
      <c r="C286" s="196" t="s">
        <v>2777</v>
      </c>
      <c r="D286" s="122" t="s">
        <v>2766</v>
      </c>
      <c r="E286" s="123">
        <v>30759</v>
      </c>
      <c r="F286" s="289" t="s">
        <v>17</v>
      </c>
      <c r="G286" s="277">
        <v>9818613415</v>
      </c>
      <c r="H286" s="294"/>
      <c r="I286" s="317"/>
    </row>
    <row r="287" spans="1:10" ht="41" customHeight="1">
      <c r="A287" s="425">
        <v>2</v>
      </c>
      <c r="B287" s="120" t="s">
        <v>737</v>
      </c>
      <c r="C287" s="194" t="s">
        <v>2788</v>
      </c>
      <c r="D287" s="279" t="s">
        <v>2766</v>
      </c>
      <c r="E287" s="280">
        <v>32179</v>
      </c>
      <c r="F287" s="282" t="s">
        <v>223</v>
      </c>
      <c r="G287" s="282" t="s">
        <v>738</v>
      </c>
      <c r="H287" s="283"/>
      <c r="I287" s="317"/>
      <c r="J287" s="422"/>
    </row>
    <row r="288" spans="1:10" ht="41" customHeight="1">
      <c r="A288" s="425">
        <v>3</v>
      </c>
      <c r="B288" s="120" t="s">
        <v>740</v>
      </c>
      <c r="C288" s="284" t="s">
        <v>741</v>
      </c>
      <c r="D288" s="279" t="s">
        <v>742</v>
      </c>
      <c r="E288" s="286">
        <v>30763</v>
      </c>
      <c r="F288" s="282"/>
      <c r="G288" s="1109">
        <v>9310143411</v>
      </c>
      <c r="H288" s="461"/>
      <c r="I288" s="462"/>
    </row>
    <row r="289" spans="1:10" ht="41" customHeight="1">
      <c r="A289" s="425">
        <v>4</v>
      </c>
      <c r="B289" s="120" t="s">
        <v>743</v>
      </c>
      <c r="C289" s="194" t="s">
        <v>744</v>
      </c>
      <c r="D289" s="279" t="s">
        <v>745</v>
      </c>
      <c r="E289" s="280">
        <v>71888</v>
      </c>
      <c r="F289" s="282" t="s">
        <v>17</v>
      </c>
      <c r="G289" s="1110"/>
      <c r="H289" s="282"/>
      <c r="I289" s="317"/>
    </row>
    <row r="290" spans="1:10" ht="41" customHeight="1">
      <c r="A290" s="425">
        <v>5</v>
      </c>
      <c r="B290" s="120" t="s">
        <v>2790</v>
      </c>
      <c r="C290" s="196" t="s">
        <v>2791</v>
      </c>
      <c r="D290" s="122" t="s">
        <v>2793</v>
      </c>
      <c r="E290" s="123">
        <v>51210</v>
      </c>
      <c r="F290" s="282" t="s">
        <v>2792</v>
      </c>
      <c r="G290" s="577"/>
      <c r="H290" s="318" t="s">
        <v>365</v>
      </c>
      <c r="I290" s="317"/>
    </row>
    <row r="291" spans="1:10" ht="41" customHeight="1">
      <c r="A291" s="425">
        <v>6</v>
      </c>
      <c r="B291" s="120" t="s">
        <v>739</v>
      </c>
      <c r="C291" s="321" t="s">
        <v>2819</v>
      </c>
      <c r="D291" s="279" t="s">
        <v>2818</v>
      </c>
      <c r="E291" s="322">
        <v>101338</v>
      </c>
      <c r="F291" s="282" t="s">
        <v>17</v>
      </c>
      <c r="G291" s="282">
        <v>9811387302</v>
      </c>
      <c r="H291" s="461"/>
      <c r="I291" s="462"/>
    </row>
    <row r="292" spans="1:10" ht="41" customHeight="1">
      <c r="A292" s="425">
        <v>7</v>
      </c>
      <c r="B292" s="120" t="s">
        <v>709</v>
      </c>
      <c r="C292" s="194" t="s">
        <v>2822</v>
      </c>
      <c r="D292" s="279" t="s">
        <v>2821</v>
      </c>
      <c r="E292" s="280">
        <v>16484</v>
      </c>
      <c r="F292" s="282" t="s">
        <v>17</v>
      </c>
      <c r="G292" s="1107">
        <v>9560704172</v>
      </c>
      <c r="H292" s="282"/>
      <c r="I292" s="571"/>
      <c r="J292" s="422"/>
    </row>
    <row r="293" spans="1:10" ht="41" customHeight="1">
      <c r="A293" s="425">
        <v>8</v>
      </c>
      <c r="B293" s="120" t="s">
        <v>756</v>
      </c>
      <c r="C293" s="194" t="s">
        <v>2886</v>
      </c>
      <c r="D293" s="279" t="s">
        <v>2885</v>
      </c>
      <c r="E293" s="280">
        <v>33442</v>
      </c>
      <c r="F293" s="282" t="s">
        <v>13</v>
      </c>
      <c r="G293" s="1108"/>
      <c r="H293" s="282"/>
      <c r="I293" s="300"/>
      <c r="J293" s="422"/>
    </row>
    <row r="294" spans="1:10" ht="41" customHeight="1">
      <c r="A294" s="425">
        <v>9</v>
      </c>
      <c r="B294" s="120" t="s">
        <v>2811</v>
      </c>
      <c r="C294" s="194" t="s">
        <v>2810</v>
      </c>
      <c r="D294" s="279" t="s">
        <v>2809</v>
      </c>
      <c r="E294" s="280">
        <v>157215</v>
      </c>
      <c r="F294" s="282" t="s">
        <v>2765</v>
      </c>
      <c r="G294" s="296" t="s">
        <v>746</v>
      </c>
      <c r="H294" s="283" t="s">
        <v>2773</v>
      </c>
      <c r="I294" s="317"/>
    </row>
    <row r="295" spans="1:10" ht="41" customHeight="1">
      <c r="A295" s="425">
        <v>10</v>
      </c>
      <c r="B295" s="120" t="s">
        <v>2807</v>
      </c>
      <c r="C295" s="198" t="s">
        <v>2808</v>
      </c>
      <c r="D295" s="305" t="s">
        <v>2786</v>
      </c>
      <c r="E295" s="306">
        <v>65230</v>
      </c>
      <c r="F295" s="296" t="s">
        <v>69</v>
      </c>
      <c r="G295" s="296">
        <v>9818503131</v>
      </c>
      <c r="H295" s="307"/>
      <c r="I295" s="453"/>
      <c r="J295" s="422"/>
    </row>
    <row r="296" spans="1:10" ht="41" customHeight="1">
      <c r="A296" s="425">
        <v>11</v>
      </c>
      <c r="B296" s="120" t="s">
        <v>2734</v>
      </c>
      <c r="C296" s="194" t="s">
        <v>2753</v>
      </c>
      <c r="D296" s="279" t="s">
        <v>2752</v>
      </c>
      <c r="E296" s="280">
        <v>24250</v>
      </c>
      <c r="F296" s="289" t="s">
        <v>2765</v>
      </c>
      <c r="G296" s="282">
        <v>9711145931</v>
      </c>
      <c r="H296" s="294" t="s">
        <v>2773</v>
      </c>
      <c r="I296" s="317"/>
    </row>
    <row r="297" spans="1:10" ht="41" customHeight="1">
      <c r="A297" s="425">
        <v>12</v>
      </c>
      <c r="B297" s="120" t="s">
        <v>750</v>
      </c>
      <c r="C297" s="194" t="s">
        <v>2820</v>
      </c>
      <c r="D297" s="279" t="s">
        <v>2752</v>
      </c>
      <c r="E297" s="280">
        <v>36110</v>
      </c>
      <c r="F297" s="289" t="s">
        <v>13</v>
      </c>
      <c r="G297" s="282">
        <v>9911879030</v>
      </c>
      <c r="H297" s="294" t="s">
        <v>2775</v>
      </c>
      <c r="I297" s="317"/>
    </row>
    <row r="298" spans="1:10" ht="41" customHeight="1">
      <c r="A298" s="425">
        <v>13</v>
      </c>
      <c r="B298" s="120" t="s">
        <v>2701</v>
      </c>
      <c r="C298" s="194" t="s">
        <v>2705</v>
      </c>
      <c r="D298" s="279" t="s">
        <v>2704</v>
      </c>
      <c r="E298" s="280">
        <v>62431</v>
      </c>
      <c r="F298" s="282" t="s">
        <v>377</v>
      </c>
      <c r="G298" s="282">
        <v>9810502104</v>
      </c>
      <c r="H298" s="294"/>
      <c r="I298" s="317"/>
    </row>
    <row r="299" spans="1:10" ht="41" customHeight="1">
      <c r="A299" s="425">
        <v>14</v>
      </c>
      <c r="B299" s="120" t="s">
        <v>2702</v>
      </c>
      <c r="C299" s="194" t="s">
        <v>2703</v>
      </c>
      <c r="D299" s="279" t="s">
        <v>2704</v>
      </c>
      <c r="E299" s="280">
        <v>92757</v>
      </c>
      <c r="F299" s="282" t="s">
        <v>377</v>
      </c>
      <c r="G299" s="282">
        <v>9910355067</v>
      </c>
      <c r="H299" s="294"/>
      <c r="I299" s="317"/>
    </row>
    <row r="300" spans="1:10" ht="41" customHeight="1">
      <c r="A300" s="425">
        <v>15</v>
      </c>
      <c r="B300" s="120" t="s">
        <v>752</v>
      </c>
      <c r="C300" s="194" t="s">
        <v>2745</v>
      </c>
      <c r="D300" s="279" t="s">
        <v>2744</v>
      </c>
      <c r="E300" s="280">
        <v>386383</v>
      </c>
      <c r="F300" s="282" t="s">
        <v>427</v>
      </c>
      <c r="G300" s="554">
        <v>9810002411</v>
      </c>
      <c r="H300" s="1109"/>
      <c r="I300" s="317"/>
    </row>
    <row r="301" spans="1:10" ht="41" customHeight="1">
      <c r="A301" s="425">
        <v>16</v>
      </c>
      <c r="B301" s="120" t="s">
        <v>753</v>
      </c>
      <c r="C301" s="194" t="s">
        <v>2783</v>
      </c>
      <c r="D301" s="279" t="s">
        <v>2782</v>
      </c>
      <c r="E301" s="280">
        <v>231729</v>
      </c>
      <c r="F301" s="282" t="s">
        <v>427</v>
      </c>
      <c r="G301" s="282">
        <v>9818084446</v>
      </c>
      <c r="H301" s="1127"/>
      <c r="I301" s="317"/>
    </row>
    <row r="302" spans="1:10" ht="41" customHeight="1">
      <c r="A302" s="425">
        <v>17</v>
      </c>
      <c r="B302" s="120" t="s">
        <v>2784</v>
      </c>
      <c r="C302" s="194" t="s">
        <v>2785</v>
      </c>
      <c r="D302" s="279" t="s">
        <v>2782</v>
      </c>
      <c r="E302" s="280">
        <v>72285</v>
      </c>
      <c r="F302" s="282" t="s">
        <v>427</v>
      </c>
      <c r="G302" s="576">
        <v>1</v>
      </c>
      <c r="H302" s="1110"/>
      <c r="I302" s="317"/>
    </row>
    <row r="303" spans="1:10" ht="41" customHeight="1">
      <c r="A303" s="425">
        <v>18</v>
      </c>
      <c r="B303" s="120" t="s">
        <v>757</v>
      </c>
      <c r="C303" s="194" t="s">
        <v>2838</v>
      </c>
      <c r="D303" s="279" t="s">
        <v>1017</v>
      </c>
      <c r="E303" s="280">
        <v>178547</v>
      </c>
      <c r="F303" s="282" t="s">
        <v>2836</v>
      </c>
      <c r="G303" s="554">
        <v>9891048245</v>
      </c>
      <c r="H303" s="575"/>
      <c r="I303" s="300"/>
      <c r="J303" s="422"/>
    </row>
    <row r="304" spans="1:10" ht="41" customHeight="1">
      <c r="A304" s="425">
        <v>19</v>
      </c>
      <c r="B304" s="120" t="s">
        <v>758</v>
      </c>
      <c r="C304" s="194" t="s">
        <v>2824</v>
      </c>
      <c r="D304" s="279" t="s">
        <v>2823</v>
      </c>
      <c r="E304" s="280">
        <v>16425</v>
      </c>
      <c r="F304" s="282" t="s">
        <v>17</v>
      </c>
      <c r="G304" s="282">
        <v>9971213321</v>
      </c>
      <c r="H304" s="295"/>
      <c r="I304" s="37"/>
    </row>
    <row r="305" spans="1:10" ht="41" customHeight="1">
      <c r="A305" s="425">
        <v>20</v>
      </c>
      <c r="B305" s="120" t="s">
        <v>2839</v>
      </c>
      <c r="C305" s="194" t="s">
        <v>2841</v>
      </c>
      <c r="D305" s="279" t="s">
        <v>2840</v>
      </c>
      <c r="E305" s="280">
        <v>27124</v>
      </c>
      <c r="F305" s="289" t="s">
        <v>344</v>
      </c>
      <c r="G305" s="282">
        <v>9873013501</v>
      </c>
      <c r="H305" s="294"/>
      <c r="I305" s="317"/>
    </row>
    <row r="306" spans="1:10" ht="41" customHeight="1">
      <c r="A306" s="425">
        <v>21</v>
      </c>
      <c r="B306" s="120" t="s">
        <v>759</v>
      </c>
      <c r="C306" s="194" t="s">
        <v>2851</v>
      </c>
      <c r="D306" s="279" t="s">
        <v>2840</v>
      </c>
      <c r="E306" s="280">
        <v>1503.32</v>
      </c>
      <c r="F306" s="282" t="s">
        <v>69</v>
      </c>
      <c r="G306" s="282">
        <v>9971402258</v>
      </c>
      <c r="H306" s="295"/>
      <c r="I306" s="37"/>
    </row>
    <row r="307" spans="1:10" ht="41" customHeight="1" thickBot="1">
      <c r="A307" s="426">
        <v>22</v>
      </c>
      <c r="B307" s="314" t="s">
        <v>2845</v>
      </c>
      <c r="C307" s="199" t="s">
        <v>2846</v>
      </c>
      <c r="D307" s="302" t="s">
        <v>2847</v>
      </c>
      <c r="E307" s="303">
        <v>41273</v>
      </c>
      <c r="F307" s="482" t="s">
        <v>2848</v>
      </c>
      <c r="G307" s="119" t="s">
        <v>2849</v>
      </c>
      <c r="H307" s="991" t="s">
        <v>838</v>
      </c>
      <c r="I307" s="992"/>
    </row>
    <row r="308" spans="1:10" ht="30" customHeight="1" thickBot="1">
      <c r="A308" s="427"/>
      <c r="B308" s="291"/>
      <c r="C308" s="292" t="s">
        <v>263</v>
      </c>
      <c r="D308" s="291"/>
      <c r="E308" s="291"/>
      <c r="F308" s="291"/>
      <c r="G308" s="291"/>
      <c r="H308" s="291"/>
      <c r="I308" s="298"/>
      <c r="J308" s="412">
        <v>12</v>
      </c>
    </row>
    <row r="309" spans="1:10" ht="16" thickBot="1">
      <c r="A309" s="429"/>
      <c r="B309" s="312"/>
      <c r="C309" s="312"/>
      <c r="D309" s="312"/>
      <c r="E309" s="312"/>
      <c r="F309" s="312"/>
      <c r="G309" s="312"/>
      <c r="H309" s="312"/>
      <c r="I309" s="315"/>
    </row>
    <row r="310" spans="1:10" ht="25" customHeight="1" thickBot="1">
      <c r="A310" s="423" t="s">
        <v>2</v>
      </c>
      <c r="B310" s="272" t="s">
        <v>3</v>
      </c>
      <c r="C310" s="272" t="s">
        <v>4</v>
      </c>
      <c r="D310" s="273" t="s">
        <v>5</v>
      </c>
      <c r="E310" s="272" t="s">
        <v>6</v>
      </c>
      <c r="F310" s="272" t="s">
        <v>360</v>
      </c>
      <c r="G310" s="272" t="s">
        <v>8</v>
      </c>
      <c r="H310" s="272" t="s">
        <v>9</v>
      </c>
      <c r="I310" s="297" t="s">
        <v>10</v>
      </c>
    </row>
    <row r="311" spans="1:10" ht="40" customHeight="1">
      <c r="A311" s="425">
        <v>23</v>
      </c>
      <c r="B311" s="120" t="s">
        <v>1579</v>
      </c>
      <c r="C311" s="194" t="s">
        <v>2866</v>
      </c>
      <c r="D311" s="279" t="s">
        <v>2760</v>
      </c>
      <c r="E311" s="280">
        <v>17500</v>
      </c>
      <c r="F311" s="289" t="s">
        <v>17</v>
      </c>
      <c r="G311" s="282">
        <v>9289561406</v>
      </c>
      <c r="H311" s="294"/>
      <c r="I311" s="317"/>
    </row>
    <row r="312" spans="1:10" ht="40" customHeight="1">
      <c r="A312" s="425">
        <v>24</v>
      </c>
      <c r="B312" s="120" t="s">
        <v>2867</v>
      </c>
      <c r="C312" s="194" t="s">
        <v>2868</v>
      </c>
      <c r="D312" s="279" t="s">
        <v>2760</v>
      </c>
      <c r="E312" s="280">
        <v>17500</v>
      </c>
      <c r="F312" s="289" t="s">
        <v>17</v>
      </c>
      <c r="G312" s="282">
        <v>8130886700</v>
      </c>
      <c r="H312" s="294"/>
      <c r="I312" s="317"/>
    </row>
    <row r="313" spans="1:10" ht="40" customHeight="1">
      <c r="A313" s="425">
        <v>25</v>
      </c>
      <c r="B313" s="120" t="s">
        <v>760</v>
      </c>
      <c r="C313" s="194" t="s">
        <v>2861</v>
      </c>
      <c r="D313" s="279" t="s">
        <v>2860</v>
      </c>
      <c r="E313" s="280">
        <v>52834</v>
      </c>
      <c r="F313" s="282" t="s">
        <v>13</v>
      </c>
      <c r="G313" s="554">
        <v>9311289606</v>
      </c>
      <c r="H313" s="575"/>
      <c r="I313" s="300"/>
      <c r="J313" s="422"/>
    </row>
    <row r="314" spans="1:10" ht="40" customHeight="1">
      <c r="A314" s="425">
        <v>26</v>
      </c>
      <c r="B314" s="120" t="s">
        <v>763</v>
      </c>
      <c r="C314" s="194" t="s">
        <v>764</v>
      </c>
      <c r="D314" s="279" t="s">
        <v>765</v>
      </c>
      <c r="E314" s="280">
        <v>49950</v>
      </c>
      <c r="F314" s="282" t="s">
        <v>69</v>
      </c>
      <c r="G314" s="282">
        <v>9711985769</v>
      </c>
      <c r="H314" s="295"/>
      <c r="I314" s="300"/>
    </row>
    <row r="315" spans="1:10" ht="40" customHeight="1">
      <c r="A315" s="425">
        <v>27</v>
      </c>
      <c r="B315" s="120" t="s">
        <v>761</v>
      </c>
      <c r="C315" s="194" t="s">
        <v>2870</v>
      </c>
      <c r="D315" s="279" t="s">
        <v>765</v>
      </c>
      <c r="E315" s="280">
        <v>27102</v>
      </c>
      <c r="F315" s="282" t="s">
        <v>13</v>
      </c>
      <c r="G315" s="282">
        <v>9999295205</v>
      </c>
      <c r="H315" s="556" t="s">
        <v>2775</v>
      </c>
      <c r="I315" s="300"/>
    </row>
    <row r="316" spans="1:10" ht="40" customHeight="1">
      <c r="A316" s="425">
        <v>28</v>
      </c>
      <c r="B316" s="120" t="s">
        <v>766</v>
      </c>
      <c r="C316" s="194" t="s">
        <v>2874</v>
      </c>
      <c r="D316" s="279" t="s">
        <v>765</v>
      </c>
      <c r="E316" s="280">
        <v>51903</v>
      </c>
      <c r="F316" s="282" t="s">
        <v>17</v>
      </c>
      <c r="G316" s="554">
        <v>9212037333</v>
      </c>
      <c r="H316" s="556"/>
      <c r="I316" s="300"/>
      <c r="J316" s="422"/>
    </row>
    <row r="317" spans="1:10" ht="40" customHeight="1">
      <c r="A317" s="425">
        <v>29</v>
      </c>
      <c r="B317" s="120" t="s">
        <v>767</v>
      </c>
      <c r="C317" s="194" t="s">
        <v>3049</v>
      </c>
      <c r="D317" s="279" t="s">
        <v>765</v>
      </c>
      <c r="E317" s="280">
        <v>12850</v>
      </c>
      <c r="F317" s="282" t="s">
        <v>17</v>
      </c>
      <c r="G317" s="554">
        <v>9818544539</v>
      </c>
      <c r="H317" s="283"/>
      <c r="I317" s="300"/>
      <c r="J317" s="422"/>
    </row>
    <row r="318" spans="1:10" ht="40" customHeight="1">
      <c r="A318" s="425">
        <v>30</v>
      </c>
      <c r="B318" s="120" t="s">
        <v>3722</v>
      </c>
      <c r="C318" s="194" t="s">
        <v>2842</v>
      </c>
      <c r="D318" s="279" t="s">
        <v>765</v>
      </c>
      <c r="E318" s="280">
        <v>3344</v>
      </c>
      <c r="F318" s="282" t="s">
        <v>21</v>
      </c>
      <c r="G318" s="282">
        <v>9999600552</v>
      </c>
      <c r="H318" s="295"/>
      <c r="I318" s="300"/>
    </row>
    <row r="319" spans="1:10" ht="40" customHeight="1">
      <c r="A319" s="425">
        <v>31</v>
      </c>
      <c r="B319" s="120" t="s">
        <v>768</v>
      </c>
      <c r="C319" s="194" t="s">
        <v>2871</v>
      </c>
      <c r="D319" s="279" t="s">
        <v>765</v>
      </c>
      <c r="E319" s="280">
        <v>1274</v>
      </c>
      <c r="F319" s="282" t="s">
        <v>69</v>
      </c>
      <c r="G319" s="1107">
        <v>9999690661</v>
      </c>
      <c r="H319" s="283"/>
      <c r="I319" s="301"/>
      <c r="J319" s="422"/>
    </row>
    <row r="320" spans="1:10" ht="40" customHeight="1">
      <c r="A320" s="425">
        <v>32</v>
      </c>
      <c r="B320" s="120" t="s">
        <v>769</v>
      </c>
      <c r="C320" s="194" t="s">
        <v>2863</v>
      </c>
      <c r="D320" s="279" t="s">
        <v>2862</v>
      </c>
      <c r="E320" s="280">
        <v>32402</v>
      </c>
      <c r="F320" s="282" t="s">
        <v>13</v>
      </c>
      <c r="G320" s="1108"/>
      <c r="H320" s="283"/>
      <c r="I320" s="317"/>
      <c r="J320" s="422"/>
    </row>
    <row r="321" spans="1:10" s="6" customFormat="1" ht="40" customHeight="1">
      <c r="A321" s="425">
        <v>33</v>
      </c>
      <c r="B321" s="120" t="s">
        <v>751</v>
      </c>
      <c r="C321" s="194" t="s">
        <v>2910</v>
      </c>
      <c r="D321" s="279" t="s">
        <v>278</v>
      </c>
      <c r="E321" s="280">
        <v>15062</v>
      </c>
      <c r="F321" s="282" t="s">
        <v>29</v>
      </c>
      <c r="G321" s="282">
        <v>6202483978</v>
      </c>
      <c r="H321" s="283"/>
      <c r="I321" s="301"/>
      <c r="J321" s="409"/>
    </row>
    <row r="322" spans="1:10" ht="40" customHeight="1">
      <c r="A322" s="425">
        <v>34</v>
      </c>
      <c r="B322" s="120" t="s">
        <v>285</v>
      </c>
      <c r="C322" s="194" t="s">
        <v>2875</v>
      </c>
      <c r="D322" s="279" t="s">
        <v>278</v>
      </c>
      <c r="E322" s="280">
        <v>31180</v>
      </c>
      <c r="F322" s="282" t="s">
        <v>69</v>
      </c>
      <c r="G322" s="282">
        <v>8586008798</v>
      </c>
      <c r="H322" s="283"/>
      <c r="I322" s="300"/>
      <c r="J322" s="422"/>
    </row>
    <row r="323" spans="1:10" ht="40" customHeight="1">
      <c r="A323" s="425">
        <v>35</v>
      </c>
      <c r="B323" s="120" t="s">
        <v>762</v>
      </c>
      <c r="C323" s="194" t="s">
        <v>2904</v>
      </c>
      <c r="D323" s="279" t="s">
        <v>2903</v>
      </c>
      <c r="E323" s="280">
        <v>40711</v>
      </c>
      <c r="F323" s="282" t="s">
        <v>69</v>
      </c>
      <c r="G323" s="282">
        <v>9811025288</v>
      </c>
      <c r="H323" s="283"/>
      <c r="I323" s="301"/>
      <c r="J323" s="422"/>
    </row>
    <row r="324" spans="1:10" ht="40" customHeight="1">
      <c r="A324" s="425">
        <v>36</v>
      </c>
      <c r="B324" s="120" t="s">
        <v>755</v>
      </c>
      <c r="C324" s="194" t="s">
        <v>2905</v>
      </c>
      <c r="D324" s="279" t="s">
        <v>2865</v>
      </c>
      <c r="E324" s="280">
        <v>12412</v>
      </c>
      <c r="F324" s="282" t="s">
        <v>17</v>
      </c>
      <c r="G324" s="282">
        <v>9971374750</v>
      </c>
      <c r="H324" s="295"/>
      <c r="I324" s="37"/>
    </row>
    <row r="325" spans="1:10" ht="40" customHeight="1">
      <c r="A325" s="425">
        <v>37</v>
      </c>
      <c r="B325" s="120" t="s">
        <v>2943</v>
      </c>
      <c r="C325" s="194" t="s">
        <v>2954</v>
      </c>
      <c r="D325" s="279" t="s">
        <v>2865</v>
      </c>
      <c r="E325" s="280">
        <v>36165</v>
      </c>
      <c r="F325" s="282" t="s">
        <v>69</v>
      </c>
      <c r="G325" s="328">
        <v>8851281212</v>
      </c>
      <c r="H325" s="1107" t="s">
        <v>2944</v>
      </c>
      <c r="I325" s="301"/>
      <c r="J325" s="422"/>
    </row>
    <row r="326" spans="1:10" ht="40" customHeight="1">
      <c r="A326" s="425">
        <v>38</v>
      </c>
      <c r="B326" s="120" t="s">
        <v>2907</v>
      </c>
      <c r="C326" s="194" t="s">
        <v>2908</v>
      </c>
      <c r="D326" s="279" t="s">
        <v>2865</v>
      </c>
      <c r="E326" s="280">
        <v>15025</v>
      </c>
      <c r="F326" s="282" t="s">
        <v>69</v>
      </c>
      <c r="G326" s="328">
        <v>0</v>
      </c>
      <c r="H326" s="1108"/>
      <c r="I326" s="301"/>
      <c r="J326" s="422"/>
    </row>
    <row r="327" spans="1:10" ht="40" customHeight="1">
      <c r="A327" s="425">
        <v>39</v>
      </c>
      <c r="B327" s="120" t="s">
        <v>771</v>
      </c>
      <c r="C327" s="194" t="s">
        <v>2906</v>
      </c>
      <c r="D327" s="279" t="s">
        <v>2865</v>
      </c>
      <c r="E327" s="280">
        <v>26668</v>
      </c>
      <c r="F327" s="282" t="s">
        <v>13</v>
      </c>
      <c r="G327" s="282">
        <v>9811476789</v>
      </c>
      <c r="H327" s="283" t="s">
        <v>2773</v>
      </c>
      <c r="I327" s="301"/>
      <c r="J327" s="422"/>
    </row>
    <row r="328" spans="1:10" ht="40" customHeight="1">
      <c r="A328" s="425">
        <v>40</v>
      </c>
      <c r="B328" s="120" t="s">
        <v>2869</v>
      </c>
      <c r="C328" s="194" t="s">
        <v>2872</v>
      </c>
      <c r="D328" s="279" t="s">
        <v>2865</v>
      </c>
      <c r="E328" s="280">
        <v>51342</v>
      </c>
      <c r="F328" s="282" t="s">
        <v>2836</v>
      </c>
      <c r="G328" s="282">
        <v>9350292390</v>
      </c>
      <c r="H328" s="283" t="s">
        <v>2979</v>
      </c>
      <c r="I328" s="300"/>
      <c r="J328" s="422"/>
    </row>
    <row r="329" spans="1:10" ht="40" customHeight="1">
      <c r="A329" s="425">
        <v>41</v>
      </c>
      <c r="B329" s="120" t="s">
        <v>2864</v>
      </c>
      <c r="C329" s="194" t="s">
        <v>2873</v>
      </c>
      <c r="D329" s="279" t="s">
        <v>2865</v>
      </c>
      <c r="E329" s="280">
        <v>10666</v>
      </c>
      <c r="F329" s="282" t="s">
        <v>2836</v>
      </c>
      <c r="G329" s="328"/>
      <c r="H329" s="283" t="s">
        <v>2979</v>
      </c>
      <c r="I329" s="327"/>
    </row>
    <row r="330" spans="1:10" s="6" customFormat="1" ht="40" customHeight="1">
      <c r="A330" s="425">
        <v>42</v>
      </c>
      <c r="B330" s="120" t="s">
        <v>747</v>
      </c>
      <c r="C330" s="194" t="s">
        <v>2909</v>
      </c>
      <c r="D330" s="279" t="s">
        <v>2884</v>
      </c>
      <c r="E330" s="280">
        <v>27054</v>
      </c>
      <c r="F330" s="282" t="s">
        <v>13</v>
      </c>
      <c r="G330" s="1107" t="s">
        <v>748</v>
      </c>
      <c r="H330" s="1126"/>
      <c r="I330" s="1105"/>
      <c r="J330" s="409"/>
    </row>
    <row r="331" spans="1:10" ht="40" customHeight="1">
      <c r="A331" s="425">
        <v>43</v>
      </c>
      <c r="B331" s="120" t="s">
        <v>749</v>
      </c>
      <c r="C331" s="194" t="s">
        <v>2911</v>
      </c>
      <c r="D331" s="279" t="s">
        <v>2884</v>
      </c>
      <c r="E331" s="280">
        <v>115954</v>
      </c>
      <c r="F331" s="282" t="s">
        <v>223</v>
      </c>
      <c r="G331" s="1108"/>
      <c r="H331" s="1126"/>
      <c r="I331" s="1106"/>
      <c r="J331" s="422"/>
    </row>
    <row r="332" spans="1:10" ht="40" customHeight="1">
      <c r="A332" s="425">
        <v>44</v>
      </c>
      <c r="B332" s="120" t="s">
        <v>2900</v>
      </c>
      <c r="C332" s="194" t="s">
        <v>2902</v>
      </c>
      <c r="D332" s="279" t="s">
        <v>2901</v>
      </c>
      <c r="E332" s="280">
        <v>60139</v>
      </c>
      <c r="F332" s="282" t="s">
        <v>2764</v>
      </c>
      <c r="G332" s="282">
        <v>9312106543</v>
      </c>
      <c r="H332" s="283"/>
      <c r="I332" s="300"/>
      <c r="J332" s="422"/>
    </row>
    <row r="333" spans="1:10" ht="40" customHeight="1" thickBot="1">
      <c r="A333" s="426">
        <v>45</v>
      </c>
      <c r="B333" s="314" t="s">
        <v>2942</v>
      </c>
      <c r="C333" s="199" t="s">
        <v>2941</v>
      </c>
      <c r="D333" s="302" t="s">
        <v>2940</v>
      </c>
      <c r="E333" s="303">
        <v>92809</v>
      </c>
      <c r="F333" s="119" t="s">
        <v>344</v>
      </c>
      <c r="G333" s="119">
        <v>8826120777</v>
      </c>
      <c r="H333" s="304"/>
      <c r="I333" s="311"/>
      <c r="J333" s="422"/>
    </row>
    <row r="334" spans="1:10" ht="30" customHeight="1" thickBot="1">
      <c r="A334" s="431"/>
      <c r="B334" s="291"/>
      <c r="C334" s="292" t="s">
        <v>291</v>
      </c>
      <c r="D334" s="291"/>
      <c r="E334" s="291"/>
      <c r="F334" s="291"/>
      <c r="G334" s="291"/>
      <c r="H334" s="291"/>
      <c r="I334" s="298"/>
      <c r="J334" s="412">
        <v>13</v>
      </c>
    </row>
    <row r="335" spans="1:10" ht="16" thickBot="1">
      <c r="A335" s="429"/>
      <c r="B335" s="312"/>
      <c r="C335" s="312"/>
      <c r="D335" s="312"/>
      <c r="E335" s="312"/>
      <c r="F335" s="312"/>
      <c r="G335" s="312"/>
      <c r="H335" s="312"/>
      <c r="I335" s="315"/>
    </row>
    <row r="336" spans="1:10" ht="30" customHeight="1" thickBot="1">
      <c r="A336" s="423" t="s">
        <v>2</v>
      </c>
      <c r="B336" s="272" t="s">
        <v>3</v>
      </c>
      <c r="C336" s="272" t="s">
        <v>4</v>
      </c>
      <c r="D336" s="273" t="s">
        <v>5</v>
      </c>
      <c r="E336" s="272" t="s">
        <v>6</v>
      </c>
      <c r="F336" s="272" t="s">
        <v>360</v>
      </c>
      <c r="G336" s="272" t="s">
        <v>8</v>
      </c>
      <c r="H336" s="272" t="s">
        <v>9</v>
      </c>
      <c r="I336" s="297" t="s">
        <v>10</v>
      </c>
    </row>
    <row r="337" spans="1:10" ht="36" customHeight="1">
      <c r="A337" s="424">
        <v>1</v>
      </c>
      <c r="B337" s="593" t="s">
        <v>772</v>
      </c>
      <c r="C337" s="194" t="s">
        <v>2877</v>
      </c>
      <c r="D337" s="279" t="s">
        <v>2876</v>
      </c>
      <c r="E337" s="276">
        <v>17405</v>
      </c>
      <c r="F337" s="277" t="s">
        <v>13</v>
      </c>
      <c r="G337" s="277">
        <v>8586948202</v>
      </c>
      <c r="H337" s="278"/>
      <c r="I337" s="300"/>
      <c r="J337" s="422"/>
    </row>
    <row r="338" spans="1:10" ht="36" customHeight="1">
      <c r="A338" s="421">
        <v>2</v>
      </c>
      <c r="B338" s="593" t="s">
        <v>2946</v>
      </c>
      <c r="C338" s="194" t="s">
        <v>2953</v>
      </c>
      <c r="D338" s="279" t="s">
        <v>2879</v>
      </c>
      <c r="E338" s="306">
        <v>37216</v>
      </c>
      <c r="F338" s="296" t="s">
        <v>2952</v>
      </c>
      <c r="G338" s="296">
        <v>9810125452</v>
      </c>
      <c r="H338" s="283"/>
      <c r="I338" s="300"/>
      <c r="J338" s="422"/>
    </row>
    <row r="339" spans="1:10" ht="36" customHeight="1">
      <c r="A339" s="421">
        <v>3</v>
      </c>
      <c r="B339" s="593" t="s">
        <v>2947</v>
      </c>
      <c r="C339" s="194" t="s">
        <v>2959</v>
      </c>
      <c r="D339" s="279" t="s">
        <v>2958</v>
      </c>
      <c r="E339" s="306">
        <v>59308</v>
      </c>
      <c r="F339" s="296" t="s">
        <v>1284</v>
      </c>
      <c r="G339" s="577">
        <v>0</v>
      </c>
      <c r="H339" s="283" t="s">
        <v>2895</v>
      </c>
      <c r="I339" s="300"/>
      <c r="J339" s="422"/>
    </row>
    <row r="340" spans="1:10" ht="36" customHeight="1">
      <c r="A340" s="421">
        <v>4</v>
      </c>
      <c r="B340" s="593" t="s">
        <v>2993</v>
      </c>
      <c r="C340" s="194" t="s">
        <v>2989</v>
      </c>
      <c r="D340" s="279" t="s">
        <v>2990</v>
      </c>
      <c r="E340" s="306">
        <v>154585</v>
      </c>
      <c r="F340" s="296" t="s">
        <v>344</v>
      </c>
      <c r="G340" s="577"/>
      <c r="H340" s="283" t="s">
        <v>428</v>
      </c>
      <c r="I340" s="300"/>
      <c r="J340" s="422"/>
    </row>
    <row r="341" spans="1:10" ht="36" customHeight="1">
      <c r="A341" s="421">
        <v>5</v>
      </c>
      <c r="B341" s="593" t="s">
        <v>2968</v>
      </c>
      <c r="C341" s="194" t="s">
        <v>2969</v>
      </c>
      <c r="D341" s="279" t="s">
        <v>2967</v>
      </c>
      <c r="E341" s="306">
        <v>89714</v>
      </c>
      <c r="F341" s="296" t="s">
        <v>344</v>
      </c>
      <c r="G341" s="296">
        <v>9811619322</v>
      </c>
      <c r="H341" s="283"/>
      <c r="I341" s="300"/>
      <c r="J341" s="422"/>
    </row>
    <row r="342" spans="1:10" ht="36" customHeight="1">
      <c r="A342" s="421">
        <v>6</v>
      </c>
      <c r="B342" s="593" t="s">
        <v>773</v>
      </c>
      <c r="C342" s="194" t="s">
        <v>2957</v>
      </c>
      <c r="D342" s="279" t="s">
        <v>1047</v>
      </c>
      <c r="E342" s="306">
        <v>13500</v>
      </c>
      <c r="F342" s="296" t="s">
        <v>13</v>
      </c>
      <c r="G342" s="577">
        <v>3</v>
      </c>
      <c r="H342" s="283" t="s">
        <v>365</v>
      </c>
      <c r="I342" s="300"/>
      <c r="J342" s="422"/>
    </row>
    <row r="343" spans="1:10" ht="36" customHeight="1">
      <c r="A343" s="421">
        <v>7</v>
      </c>
      <c r="B343" s="593" t="s">
        <v>777</v>
      </c>
      <c r="C343" s="194" t="s">
        <v>2913</v>
      </c>
      <c r="D343" s="279" t="s">
        <v>2912</v>
      </c>
      <c r="E343" s="306">
        <v>32559</v>
      </c>
      <c r="F343" s="296" t="s">
        <v>17</v>
      </c>
      <c r="G343" s="296">
        <v>9999220020</v>
      </c>
      <c r="H343" s="283"/>
      <c r="I343" s="300"/>
      <c r="J343" s="422"/>
    </row>
    <row r="344" spans="1:10" ht="36" customHeight="1">
      <c r="A344" s="421">
        <v>8</v>
      </c>
      <c r="B344" s="593" t="s">
        <v>2937</v>
      </c>
      <c r="C344" s="198" t="s">
        <v>2939</v>
      </c>
      <c r="D344" s="279" t="s">
        <v>2938</v>
      </c>
      <c r="E344" s="306">
        <v>11683</v>
      </c>
      <c r="F344" s="296" t="s">
        <v>2836</v>
      </c>
      <c r="G344" s="577">
        <v>1</v>
      </c>
      <c r="H344" s="283"/>
      <c r="I344" s="300"/>
      <c r="J344" s="422"/>
    </row>
    <row r="345" spans="1:10" ht="36" customHeight="1">
      <c r="A345" s="421">
        <v>9</v>
      </c>
      <c r="B345" s="593" t="s">
        <v>2471</v>
      </c>
      <c r="C345" s="198" t="s">
        <v>2981</v>
      </c>
      <c r="D345" s="279" t="s">
        <v>2964</v>
      </c>
      <c r="E345" s="306">
        <v>29234</v>
      </c>
      <c r="F345" s="296" t="s">
        <v>2836</v>
      </c>
      <c r="G345" s="577">
        <v>5</v>
      </c>
      <c r="H345" s="283" t="s">
        <v>428</v>
      </c>
      <c r="I345" s="300"/>
      <c r="J345" s="422"/>
    </row>
    <row r="346" spans="1:10" s="269" customFormat="1" ht="36" customHeight="1">
      <c r="A346" s="421">
        <v>10</v>
      </c>
      <c r="B346" s="593" t="s">
        <v>2945</v>
      </c>
      <c r="C346" s="325" t="s">
        <v>2965</v>
      </c>
      <c r="D346" s="285" t="s">
        <v>2964</v>
      </c>
      <c r="E346" s="286">
        <v>20359</v>
      </c>
      <c r="F346" s="287" t="s">
        <v>2836</v>
      </c>
      <c r="G346" s="577">
        <v>8</v>
      </c>
      <c r="H346" s="288"/>
      <c r="I346" s="316"/>
      <c r="J346" s="407"/>
    </row>
    <row r="347" spans="1:10" s="269" customFormat="1" ht="36" customHeight="1">
      <c r="A347" s="421">
        <v>11</v>
      </c>
      <c r="B347" s="593" t="s">
        <v>779</v>
      </c>
      <c r="C347" s="325" t="s">
        <v>780</v>
      </c>
      <c r="D347" s="285" t="s">
        <v>781</v>
      </c>
      <c r="E347" s="286">
        <v>291893</v>
      </c>
      <c r="F347" s="287" t="s">
        <v>13</v>
      </c>
      <c r="G347" s="287">
        <v>9868425159</v>
      </c>
      <c r="H347" s="288"/>
      <c r="I347" s="316"/>
      <c r="J347" s="407"/>
    </row>
    <row r="348" spans="1:10" ht="36" customHeight="1">
      <c r="A348" s="421">
        <v>12</v>
      </c>
      <c r="B348" s="593" t="s">
        <v>782</v>
      </c>
      <c r="C348" s="194" t="s">
        <v>2961</v>
      </c>
      <c r="D348" s="279" t="s">
        <v>2962</v>
      </c>
      <c r="E348" s="280">
        <v>29595</v>
      </c>
      <c r="F348" s="282" t="s">
        <v>17</v>
      </c>
      <c r="G348" s="282">
        <v>9650267479</v>
      </c>
      <c r="H348" s="283"/>
      <c r="I348" s="300"/>
      <c r="J348" s="422"/>
    </row>
    <row r="349" spans="1:10" ht="36" customHeight="1">
      <c r="A349" s="421">
        <v>13</v>
      </c>
      <c r="B349" s="593" t="s">
        <v>2975</v>
      </c>
      <c r="C349" s="194" t="s">
        <v>2977</v>
      </c>
      <c r="D349" s="279" t="s">
        <v>2976</v>
      </c>
      <c r="E349" s="280">
        <v>48489</v>
      </c>
      <c r="F349" s="282" t="s">
        <v>2848</v>
      </c>
      <c r="G349" s="282">
        <v>9810735352</v>
      </c>
      <c r="H349" s="283" t="s">
        <v>2772</v>
      </c>
      <c r="I349" s="300"/>
      <c r="J349" s="422"/>
    </row>
    <row r="350" spans="1:10" ht="36" customHeight="1">
      <c r="A350" s="421">
        <v>14</v>
      </c>
      <c r="B350" s="593" t="s">
        <v>2812</v>
      </c>
      <c r="C350" s="194" t="s">
        <v>2815</v>
      </c>
      <c r="D350" s="279" t="s">
        <v>2813</v>
      </c>
      <c r="E350" s="280">
        <v>20054</v>
      </c>
      <c r="F350" s="282" t="s">
        <v>2814</v>
      </c>
      <c r="G350" s="282">
        <v>9971303987</v>
      </c>
      <c r="H350" s="283" t="s">
        <v>533</v>
      </c>
      <c r="I350" s="300"/>
    </row>
    <row r="351" spans="1:10" ht="36" customHeight="1">
      <c r="A351" s="421">
        <v>15</v>
      </c>
      <c r="B351" s="593" t="s">
        <v>2817</v>
      </c>
      <c r="C351" s="194" t="s">
        <v>2816</v>
      </c>
      <c r="D351" s="279" t="s">
        <v>2813</v>
      </c>
      <c r="E351" s="280">
        <v>32170</v>
      </c>
      <c r="F351" s="282" t="s">
        <v>2814</v>
      </c>
      <c r="G351" s="576"/>
      <c r="H351" s="283" t="s">
        <v>533</v>
      </c>
      <c r="I351" s="300"/>
    </row>
    <row r="352" spans="1:10" ht="36" customHeight="1">
      <c r="A352" s="421">
        <v>16</v>
      </c>
      <c r="B352" s="593" t="s">
        <v>783</v>
      </c>
      <c r="C352" s="194" t="s">
        <v>2988</v>
      </c>
      <c r="D352" s="279" t="s">
        <v>2813</v>
      </c>
      <c r="E352" s="280">
        <v>40010</v>
      </c>
      <c r="F352" s="282" t="s">
        <v>17</v>
      </c>
      <c r="G352" s="282">
        <v>9350079150</v>
      </c>
      <c r="H352" s="283"/>
      <c r="I352" s="300"/>
      <c r="J352" s="422"/>
    </row>
    <row r="353" spans="1:10" s="6" customFormat="1" ht="36" customHeight="1">
      <c r="A353" s="421">
        <v>17</v>
      </c>
      <c r="B353" s="593" t="s">
        <v>784</v>
      </c>
      <c r="C353" s="194" t="s">
        <v>2992</v>
      </c>
      <c r="D353" s="279" t="s">
        <v>2991</v>
      </c>
      <c r="E353" s="280">
        <v>17002</v>
      </c>
      <c r="F353" s="282" t="s">
        <v>17</v>
      </c>
      <c r="G353" s="282">
        <v>8861399166</v>
      </c>
      <c r="H353" s="283"/>
      <c r="I353" s="300"/>
      <c r="J353" s="409"/>
    </row>
    <row r="354" spans="1:10" ht="36" customHeight="1">
      <c r="A354" s="421">
        <v>18</v>
      </c>
      <c r="B354" s="593" t="s">
        <v>785</v>
      </c>
      <c r="C354" s="194" t="s">
        <v>786</v>
      </c>
      <c r="D354" s="279" t="s">
        <v>787</v>
      </c>
      <c r="E354" s="280">
        <v>131735</v>
      </c>
      <c r="F354" s="282" t="s">
        <v>17</v>
      </c>
      <c r="G354" s="1109">
        <v>8800164582</v>
      </c>
      <c r="H354" s="283"/>
      <c r="I354" s="300"/>
    </row>
    <row r="355" spans="1:10" ht="36" customHeight="1">
      <c r="A355" s="421">
        <v>19</v>
      </c>
      <c r="B355" s="593" t="s">
        <v>788</v>
      </c>
      <c r="C355" s="194" t="s">
        <v>2914</v>
      </c>
      <c r="D355" s="279" t="s">
        <v>787</v>
      </c>
      <c r="E355" s="280">
        <v>14014</v>
      </c>
      <c r="F355" s="282" t="s">
        <v>17</v>
      </c>
      <c r="G355" s="1110"/>
      <c r="H355" s="283"/>
      <c r="I355" s="300"/>
      <c r="J355" s="422"/>
    </row>
    <row r="356" spans="1:10" ht="36" customHeight="1">
      <c r="A356" s="421">
        <v>20</v>
      </c>
      <c r="B356" s="593" t="s">
        <v>789</v>
      </c>
      <c r="C356" s="194" t="s">
        <v>2936</v>
      </c>
      <c r="D356" s="279" t="s">
        <v>2935</v>
      </c>
      <c r="E356" s="280">
        <v>36816</v>
      </c>
      <c r="F356" s="282" t="s">
        <v>17</v>
      </c>
      <c r="G356" s="282" t="s">
        <v>790</v>
      </c>
      <c r="H356" s="283"/>
      <c r="I356" s="300"/>
      <c r="J356" s="422"/>
    </row>
    <row r="357" spans="1:10" ht="36" customHeight="1">
      <c r="A357" s="421">
        <v>21</v>
      </c>
      <c r="B357" s="593" t="s">
        <v>791</v>
      </c>
      <c r="C357" s="194" t="s">
        <v>2956</v>
      </c>
      <c r="D357" s="279" t="s">
        <v>2955</v>
      </c>
      <c r="E357" s="280">
        <v>32027</v>
      </c>
      <c r="F357" s="282" t="s">
        <v>17</v>
      </c>
      <c r="G357" s="576"/>
      <c r="H357" s="581" t="s">
        <v>365</v>
      </c>
      <c r="I357" s="300"/>
      <c r="J357" s="422"/>
    </row>
    <row r="358" spans="1:10" s="6" customFormat="1" ht="36" customHeight="1">
      <c r="A358" s="421">
        <v>22</v>
      </c>
      <c r="B358" s="593" t="s">
        <v>792</v>
      </c>
      <c r="C358" s="194" t="s">
        <v>2995</v>
      </c>
      <c r="D358" s="279" t="s">
        <v>2955</v>
      </c>
      <c r="E358" s="280">
        <v>32211</v>
      </c>
      <c r="F358" s="282" t="s">
        <v>29</v>
      </c>
      <c r="G358" s="1109">
        <v>9310950785</v>
      </c>
      <c r="H358" s="283"/>
      <c r="I358" s="300"/>
      <c r="J358" s="409"/>
    </row>
    <row r="359" spans="1:10" s="6" customFormat="1" ht="36" customHeight="1">
      <c r="A359" s="421">
        <v>23</v>
      </c>
      <c r="B359" s="593" t="s">
        <v>793</v>
      </c>
      <c r="C359" s="194" t="s">
        <v>2994</v>
      </c>
      <c r="D359" s="279" t="s">
        <v>2955</v>
      </c>
      <c r="E359" s="280">
        <v>29423</v>
      </c>
      <c r="F359" s="282" t="s">
        <v>17</v>
      </c>
      <c r="G359" s="1110"/>
      <c r="H359" s="294"/>
      <c r="I359" s="300"/>
      <c r="J359" s="409"/>
    </row>
    <row r="360" spans="1:10" s="6" customFormat="1" ht="36" customHeight="1">
      <c r="A360" s="421">
        <v>24</v>
      </c>
      <c r="B360" s="593" t="s">
        <v>794</v>
      </c>
      <c r="C360" s="194" t="s">
        <v>2996</v>
      </c>
      <c r="D360" s="279" t="s">
        <v>2955</v>
      </c>
      <c r="E360" s="280">
        <v>17334</v>
      </c>
      <c r="F360" s="282" t="s">
        <v>29</v>
      </c>
      <c r="G360" s="282">
        <v>9718312317</v>
      </c>
      <c r="H360" s="294"/>
      <c r="I360" s="300"/>
      <c r="J360" s="409"/>
    </row>
    <row r="361" spans="1:10" ht="36" customHeight="1" thickBot="1">
      <c r="A361" s="430">
        <v>25</v>
      </c>
      <c r="B361" s="594" t="s">
        <v>795</v>
      </c>
      <c r="C361" s="199" t="s">
        <v>796</v>
      </c>
      <c r="D361" s="302" t="s">
        <v>797</v>
      </c>
      <c r="E361" s="303">
        <v>50159</v>
      </c>
      <c r="F361" s="119" t="s">
        <v>17</v>
      </c>
      <c r="G361" s="119">
        <v>9990638472</v>
      </c>
      <c r="H361" s="304"/>
      <c r="I361" s="311"/>
    </row>
    <row r="362" spans="1:10" ht="30" customHeight="1" thickBot="1">
      <c r="A362" s="431"/>
      <c r="B362" s="291"/>
      <c r="C362" s="292" t="s">
        <v>307</v>
      </c>
      <c r="D362" s="291"/>
      <c r="E362" s="291"/>
      <c r="F362" s="291"/>
      <c r="G362" s="291"/>
      <c r="H362" s="291"/>
      <c r="I362" s="298"/>
      <c r="J362" s="412">
        <v>14</v>
      </c>
    </row>
    <row r="363" spans="1:10" ht="16" thickBot="1">
      <c r="A363" s="429"/>
      <c r="B363" s="312"/>
      <c r="C363" s="312"/>
      <c r="D363" s="312"/>
      <c r="E363" s="312"/>
      <c r="F363" s="312"/>
      <c r="G363" s="312"/>
      <c r="H363" s="312"/>
      <c r="I363" s="315"/>
    </row>
    <row r="364" spans="1:10" ht="30" customHeight="1" thickBot="1">
      <c r="A364" s="423" t="s">
        <v>2</v>
      </c>
      <c r="B364" s="272" t="s">
        <v>3</v>
      </c>
      <c r="C364" s="272" t="s">
        <v>4</v>
      </c>
      <c r="D364" s="273" t="s">
        <v>5</v>
      </c>
      <c r="E364" s="272" t="s">
        <v>6</v>
      </c>
      <c r="F364" s="272" t="s">
        <v>360</v>
      </c>
      <c r="G364" s="272" t="s">
        <v>8</v>
      </c>
      <c r="H364" s="272" t="s">
        <v>9</v>
      </c>
      <c r="I364" s="297" t="s">
        <v>10</v>
      </c>
    </row>
    <row r="365" spans="1:10" ht="38" customHeight="1">
      <c r="A365" s="424">
        <v>1</v>
      </c>
      <c r="B365" s="120" t="s">
        <v>798</v>
      </c>
      <c r="C365" s="274" t="s">
        <v>3057</v>
      </c>
      <c r="D365" s="275" t="s">
        <v>3056</v>
      </c>
      <c r="E365" s="276">
        <v>11833</v>
      </c>
      <c r="F365" s="277" t="s">
        <v>21</v>
      </c>
      <c r="G365" s="277">
        <v>9999020117</v>
      </c>
      <c r="H365" s="278"/>
      <c r="I365" s="657"/>
      <c r="J365" s="422"/>
    </row>
    <row r="366" spans="1:10" ht="38" customHeight="1">
      <c r="A366" s="425">
        <v>2</v>
      </c>
      <c r="B366" s="120" t="s">
        <v>2980</v>
      </c>
      <c r="C366" s="194" t="s">
        <v>3022</v>
      </c>
      <c r="D366" s="279" t="s">
        <v>3021</v>
      </c>
      <c r="E366" s="280">
        <v>41019</v>
      </c>
      <c r="F366" s="282" t="s">
        <v>2848</v>
      </c>
      <c r="G366" s="282">
        <v>9811305468</v>
      </c>
      <c r="H366" s="283"/>
      <c r="I366" s="300"/>
      <c r="J366" s="422"/>
    </row>
    <row r="367" spans="1:10" ht="38" customHeight="1">
      <c r="A367" s="425">
        <v>3</v>
      </c>
      <c r="B367" s="120" t="s">
        <v>3200</v>
      </c>
      <c r="C367" s="194" t="s">
        <v>3201</v>
      </c>
      <c r="D367" s="279" t="s">
        <v>3199</v>
      </c>
      <c r="E367" s="280">
        <v>52197</v>
      </c>
      <c r="F367" s="282" t="s">
        <v>3160</v>
      </c>
      <c r="G367" s="282">
        <v>9811773717</v>
      </c>
      <c r="H367" s="283"/>
      <c r="I367" s="300"/>
      <c r="J367" s="422"/>
    </row>
    <row r="368" spans="1:10" ht="38" customHeight="1">
      <c r="A368" s="425">
        <v>4</v>
      </c>
      <c r="B368" s="120" t="s">
        <v>799</v>
      </c>
      <c r="C368" s="194" t="s">
        <v>3084</v>
      </c>
      <c r="D368" s="279" t="s">
        <v>3046</v>
      </c>
      <c r="E368" s="280">
        <v>51257</v>
      </c>
      <c r="F368" s="282" t="s">
        <v>223</v>
      </c>
      <c r="G368" s="576"/>
      <c r="H368" s="283" t="s">
        <v>365</v>
      </c>
      <c r="I368" s="300"/>
      <c r="J368" s="422"/>
    </row>
    <row r="369" spans="1:10" ht="38" customHeight="1">
      <c r="A369" s="425">
        <v>5</v>
      </c>
      <c r="B369" s="120" t="s">
        <v>3059</v>
      </c>
      <c r="C369" s="194" t="s">
        <v>3058</v>
      </c>
      <c r="D369" s="279" t="s">
        <v>805</v>
      </c>
      <c r="E369" s="280">
        <v>13183</v>
      </c>
      <c r="F369" s="282" t="s">
        <v>2844</v>
      </c>
      <c r="G369" s="282">
        <v>9810025293</v>
      </c>
      <c r="H369" s="283"/>
      <c r="I369" s="300"/>
      <c r="J369" s="422"/>
    </row>
    <row r="370" spans="1:10" ht="38" customHeight="1">
      <c r="A370" s="425">
        <v>6</v>
      </c>
      <c r="B370" s="120" t="s">
        <v>800</v>
      </c>
      <c r="C370" s="194" t="s">
        <v>801</v>
      </c>
      <c r="D370" s="279" t="s">
        <v>802</v>
      </c>
      <c r="E370" s="280">
        <v>144965</v>
      </c>
      <c r="F370" s="282" t="s">
        <v>13</v>
      </c>
      <c r="G370" s="282" t="s">
        <v>803</v>
      </c>
      <c r="H370" s="283"/>
      <c r="I370" s="300"/>
      <c r="J370" s="422"/>
    </row>
    <row r="371" spans="1:10" ht="38" customHeight="1">
      <c r="A371" s="425">
        <v>7</v>
      </c>
      <c r="B371" s="120" t="s">
        <v>3086</v>
      </c>
      <c r="C371" s="194" t="s">
        <v>3087</v>
      </c>
      <c r="D371" s="279" t="s">
        <v>3085</v>
      </c>
      <c r="E371" s="280">
        <v>28017</v>
      </c>
      <c r="F371" s="282" t="s">
        <v>13</v>
      </c>
      <c r="G371" s="282">
        <v>8447902095</v>
      </c>
      <c r="H371" s="283"/>
      <c r="I371" s="300"/>
      <c r="J371" s="422"/>
    </row>
    <row r="372" spans="1:10" ht="38" customHeight="1">
      <c r="A372" s="425">
        <v>8</v>
      </c>
      <c r="B372" s="120" t="s">
        <v>3143</v>
      </c>
      <c r="C372" s="194" t="s">
        <v>3141</v>
      </c>
      <c r="D372" s="279" t="s">
        <v>3142</v>
      </c>
      <c r="E372" s="280">
        <v>28673</v>
      </c>
      <c r="F372" s="282" t="s">
        <v>69</v>
      </c>
      <c r="G372" s="282">
        <v>9193341688</v>
      </c>
      <c r="H372" s="283"/>
      <c r="I372" s="300"/>
      <c r="J372" s="422"/>
    </row>
    <row r="373" spans="1:10" ht="38" customHeight="1">
      <c r="A373" s="425">
        <v>9</v>
      </c>
      <c r="B373" s="120" t="s">
        <v>3158</v>
      </c>
      <c r="C373" s="194" t="s">
        <v>3159</v>
      </c>
      <c r="D373" s="279" t="s">
        <v>3033</v>
      </c>
      <c r="E373" s="280">
        <v>32236</v>
      </c>
      <c r="F373" s="282" t="s">
        <v>3160</v>
      </c>
      <c r="G373" s="282">
        <v>9811375224</v>
      </c>
      <c r="H373" s="283"/>
      <c r="I373" s="300"/>
      <c r="J373" s="422"/>
    </row>
    <row r="374" spans="1:10" ht="38" customHeight="1">
      <c r="A374" s="425">
        <v>10</v>
      </c>
      <c r="B374" s="120" t="s">
        <v>2707</v>
      </c>
      <c r="C374" s="194" t="s">
        <v>3017</v>
      </c>
      <c r="D374" s="279" t="s">
        <v>3016</v>
      </c>
      <c r="E374" s="280">
        <v>2371</v>
      </c>
      <c r="F374" s="289" t="s">
        <v>3018</v>
      </c>
      <c r="G374" s="282"/>
      <c r="H374" s="283"/>
      <c r="I374" s="327"/>
      <c r="J374" s="422"/>
    </row>
    <row r="375" spans="1:10" ht="38" customHeight="1">
      <c r="A375" s="425">
        <v>11</v>
      </c>
      <c r="B375" s="120" t="s">
        <v>808</v>
      </c>
      <c r="C375" s="194" t="s">
        <v>3157</v>
      </c>
      <c r="D375" s="279" t="s">
        <v>3156</v>
      </c>
      <c r="E375" s="280">
        <v>40564</v>
      </c>
      <c r="F375" s="289" t="s">
        <v>29</v>
      </c>
      <c r="G375" s="282">
        <v>8826120777</v>
      </c>
      <c r="H375" s="283"/>
      <c r="I375" s="327"/>
      <c r="J375" s="422"/>
    </row>
    <row r="376" spans="1:10" ht="38" customHeight="1">
      <c r="A376" s="425">
        <v>12</v>
      </c>
      <c r="B376" s="120" t="s">
        <v>806</v>
      </c>
      <c r="C376" s="194" t="s">
        <v>3163</v>
      </c>
      <c r="D376" s="279" t="s">
        <v>3156</v>
      </c>
      <c r="E376" s="280">
        <v>21128</v>
      </c>
      <c r="F376" s="289" t="s">
        <v>29</v>
      </c>
      <c r="G376" s="282" t="s">
        <v>807</v>
      </c>
      <c r="H376" s="283"/>
      <c r="I376" s="327"/>
      <c r="J376" s="422"/>
    </row>
    <row r="377" spans="1:10" ht="38" customHeight="1">
      <c r="A377" s="425">
        <v>13</v>
      </c>
      <c r="B377" s="120" t="s">
        <v>809</v>
      </c>
      <c r="C377" s="194" t="s">
        <v>3164</v>
      </c>
      <c r="D377" s="279" t="s">
        <v>3165</v>
      </c>
      <c r="E377" s="280">
        <v>124627</v>
      </c>
      <c r="F377" s="289" t="s">
        <v>69</v>
      </c>
      <c r="G377" s="282" t="s">
        <v>810</v>
      </c>
      <c r="H377" s="283"/>
      <c r="I377" s="327"/>
      <c r="J377" s="422"/>
    </row>
    <row r="378" spans="1:10" ht="38" customHeight="1">
      <c r="A378" s="425">
        <v>14</v>
      </c>
      <c r="B378" s="120" t="s">
        <v>3180</v>
      </c>
      <c r="C378" s="588" t="s">
        <v>3179</v>
      </c>
      <c r="D378" s="279" t="s">
        <v>3178</v>
      </c>
      <c r="E378" s="280">
        <v>118087</v>
      </c>
      <c r="F378" s="289" t="s">
        <v>69</v>
      </c>
      <c r="G378" s="282">
        <v>8530</v>
      </c>
      <c r="H378" s="283"/>
      <c r="I378" s="327"/>
      <c r="J378" s="422"/>
    </row>
    <row r="379" spans="1:10" ht="38" customHeight="1">
      <c r="A379" s="425">
        <v>15</v>
      </c>
      <c r="B379" s="120" t="s">
        <v>3219</v>
      </c>
      <c r="C379" s="194" t="s">
        <v>3220</v>
      </c>
      <c r="D379" s="279" t="s">
        <v>3151</v>
      </c>
      <c r="E379" s="280">
        <v>52496</v>
      </c>
      <c r="F379" s="282" t="s">
        <v>21</v>
      </c>
      <c r="G379" s="282" t="s">
        <v>3221</v>
      </c>
      <c r="H379" s="283"/>
      <c r="I379" s="327"/>
      <c r="J379" s="422"/>
    </row>
    <row r="380" spans="1:10" ht="38" customHeight="1">
      <c r="A380" s="425">
        <v>16</v>
      </c>
      <c r="B380" s="120" t="s">
        <v>3152</v>
      </c>
      <c r="C380" s="194" t="s">
        <v>3166</v>
      </c>
      <c r="D380" s="279" t="s">
        <v>3151</v>
      </c>
      <c r="E380" s="280">
        <v>19296</v>
      </c>
      <c r="F380" s="289" t="s">
        <v>69</v>
      </c>
      <c r="G380" s="282"/>
      <c r="H380" s="283" t="s">
        <v>3088</v>
      </c>
      <c r="I380" s="327"/>
      <c r="J380" s="422"/>
    </row>
    <row r="381" spans="1:10" ht="38" customHeight="1">
      <c r="A381" s="425">
        <v>17</v>
      </c>
      <c r="B381" s="120" t="s">
        <v>3203</v>
      </c>
      <c r="C381" s="194" t="s">
        <v>3204</v>
      </c>
      <c r="D381" s="279" t="s">
        <v>3202</v>
      </c>
      <c r="E381" s="280">
        <v>45606</v>
      </c>
      <c r="F381" s="289" t="s">
        <v>344</v>
      </c>
      <c r="G381" s="282">
        <v>5739</v>
      </c>
      <c r="H381" s="283" t="s">
        <v>14</v>
      </c>
      <c r="I381" s="327"/>
      <c r="J381" s="422"/>
    </row>
    <row r="382" spans="1:10" ht="38" customHeight="1">
      <c r="A382" s="425">
        <v>18</v>
      </c>
      <c r="B382" s="120" t="s">
        <v>3209</v>
      </c>
      <c r="C382" s="194" t="s">
        <v>3208</v>
      </c>
      <c r="D382" s="279" t="s">
        <v>3207</v>
      </c>
      <c r="E382" s="280">
        <v>52423</v>
      </c>
      <c r="F382" s="289" t="s">
        <v>223</v>
      </c>
      <c r="G382" s="282">
        <v>9654697080</v>
      </c>
      <c r="H382" s="283"/>
      <c r="I382" s="327"/>
      <c r="J382" s="422"/>
    </row>
    <row r="383" spans="1:10" ht="38" customHeight="1">
      <c r="A383" s="425">
        <v>19</v>
      </c>
      <c r="B383" s="120" t="s">
        <v>3210</v>
      </c>
      <c r="C383" s="194" t="s">
        <v>813</v>
      </c>
      <c r="D383" s="279" t="s">
        <v>814</v>
      </c>
      <c r="E383" s="280">
        <v>33232</v>
      </c>
      <c r="F383" s="289" t="s">
        <v>3212</v>
      </c>
      <c r="G383" s="282">
        <v>9810406384</v>
      </c>
      <c r="H383" s="283"/>
      <c r="I383" s="300"/>
      <c r="J383" s="422"/>
    </row>
    <row r="384" spans="1:10" ht="38" customHeight="1">
      <c r="A384" s="425">
        <v>20</v>
      </c>
      <c r="B384" s="120" t="s">
        <v>815</v>
      </c>
      <c r="C384" s="194" t="s">
        <v>3150</v>
      </c>
      <c r="D384" s="279" t="s">
        <v>3149</v>
      </c>
      <c r="E384" s="280">
        <v>21081</v>
      </c>
      <c r="F384" s="289" t="s">
        <v>3211</v>
      </c>
      <c r="G384" s="282">
        <v>9690654842</v>
      </c>
      <c r="H384" s="283"/>
      <c r="I384" s="300"/>
      <c r="J384" s="422"/>
    </row>
    <row r="385" spans="1:10" ht="38" customHeight="1">
      <c r="A385" s="425">
        <v>21</v>
      </c>
      <c r="B385" s="120" t="s">
        <v>3254</v>
      </c>
      <c r="C385" s="194" t="s">
        <v>3206</v>
      </c>
      <c r="D385" s="279" t="s">
        <v>3205</v>
      </c>
      <c r="E385" s="280">
        <v>52961</v>
      </c>
      <c r="F385" s="289" t="s">
        <v>2814</v>
      </c>
      <c r="G385" s="282" t="s">
        <v>816</v>
      </c>
      <c r="H385" s="283"/>
      <c r="I385" s="300"/>
      <c r="J385" s="422"/>
    </row>
    <row r="386" spans="1:10" ht="38" customHeight="1">
      <c r="A386" s="425">
        <v>22</v>
      </c>
      <c r="B386" s="120" t="s">
        <v>3253</v>
      </c>
      <c r="C386" s="737" t="s">
        <v>3252</v>
      </c>
      <c r="D386" s="735" t="s">
        <v>3251</v>
      </c>
      <c r="E386" s="736">
        <v>70383</v>
      </c>
      <c r="F386" s="726" t="s">
        <v>21</v>
      </c>
      <c r="G386" s="328"/>
      <c r="H386" s="727" t="s">
        <v>14</v>
      </c>
      <c r="I386" s="327"/>
      <c r="J386" s="422"/>
    </row>
    <row r="387" spans="1:10" ht="38" customHeight="1">
      <c r="A387" s="425">
        <v>23</v>
      </c>
      <c r="B387" s="120" t="s">
        <v>3042</v>
      </c>
      <c r="C387" s="737" t="s">
        <v>3044</v>
      </c>
      <c r="D387" s="735" t="s">
        <v>3043</v>
      </c>
      <c r="E387" s="736">
        <v>22992</v>
      </c>
      <c r="F387" s="726" t="s">
        <v>69</v>
      </c>
      <c r="G387" s="328">
        <v>8800207313</v>
      </c>
      <c r="H387" s="727"/>
      <c r="I387" s="327"/>
      <c r="J387" s="422"/>
    </row>
    <row r="388" spans="1:10" ht="38" customHeight="1" thickBot="1">
      <c r="A388" s="426">
        <v>24</v>
      </c>
      <c r="B388" s="314" t="s">
        <v>3263</v>
      </c>
      <c r="C388" s="622" t="s">
        <v>3262</v>
      </c>
      <c r="D388" s="302" t="s">
        <v>3264</v>
      </c>
      <c r="E388" s="303">
        <v>47904</v>
      </c>
      <c r="F388" s="482" t="s">
        <v>69</v>
      </c>
      <c r="G388" s="119">
        <v>8802254599</v>
      </c>
      <c r="H388" s="304"/>
      <c r="I388" s="311"/>
      <c r="J388" s="422"/>
    </row>
    <row r="389" spans="1:10" ht="25" customHeight="1" thickBot="1">
      <c r="A389" s="431"/>
      <c r="B389" s="291"/>
      <c r="C389" s="292" t="s">
        <v>339</v>
      </c>
      <c r="D389" s="291"/>
      <c r="E389" s="291"/>
      <c r="F389" s="291"/>
      <c r="G389" s="291"/>
      <c r="H389" s="291"/>
      <c r="I389" s="298"/>
      <c r="J389" s="412">
        <v>15</v>
      </c>
    </row>
    <row r="390" spans="1:10" ht="16" thickBot="1">
      <c r="A390" s="429"/>
      <c r="B390" s="312"/>
      <c r="C390" s="312"/>
      <c r="D390" s="312"/>
      <c r="E390" s="312"/>
      <c r="F390" s="312"/>
      <c r="G390" s="312"/>
      <c r="H390" s="312"/>
      <c r="I390" s="315"/>
    </row>
    <row r="391" spans="1:10" ht="25" customHeight="1" thickBot="1">
      <c r="A391" s="423" t="s">
        <v>2</v>
      </c>
      <c r="B391" s="272" t="s">
        <v>3</v>
      </c>
      <c r="C391" s="272" t="s">
        <v>4</v>
      </c>
      <c r="D391" s="273" t="s">
        <v>5</v>
      </c>
      <c r="E391" s="272" t="s">
        <v>6</v>
      </c>
      <c r="F391" s="272" t="s">
        <v>360</v>
      </c>
      <c r="G391" s="272" t="s">
        <v>8</v>
      </c>
      <c r="H391" s="272" t="s">
        <v>9</v>
      </c>
      <c r="I391" s="297" t="s">
        <v>10</v>
      </c>
    </row>
    <row r="392" spans="1:10" ht="27" customHeight="1">
      <c r="A392" s="424">
        <v>1</v>
      </c>
      <c r="B392" s="120" t="s">
        <v>817</v>
      </c>
      <c r="C392" s="274" t="s">
        <v>3218</v>
      </c>
      <c r="D392" s="275" t="s">
        <v>3217</v>
      </c>
      <c r="E392" s="276">
        <v>35678</v>
      </c>
      <c r="F392" s="277" t="s">
        <v>17</v>
      </c>
      <c r="G392" s="277">
        <v>9971841419</v>
      </c>
      <c r="H392" s="278"/>
      <c r="I392" s="300"/>
      <c r="J392" s="422"/>
    </row>
    <row r="393" spans="1:10" ht="27" customHeight="1">
      <c r="A393" s="425">
        <v>2</v>
      </c>
      <c r="B393" s="120" t="s">
        <v>818</v>
      </c>
      <c r="C393" s="196" t="s">
        <v>3277</v>
      </c>
      <c r="D393" s="122" t="s">
        <v>3276</v>
      </c>
      <c r="E393" s="123">
        <v>45201</v>
      </c>
      <c r="F393" s="124" t="s">
        <v>2814</v>
      </c>
      <c r="G393" s="124">
        <v>8010840663</v>
      </c>
      <c r="H393" s="283"/>
      <c r="I393" s="320"/>
      <c r="J393" s="422"/>
    </row>
    <row r="394" spans="1:10" ht="27" customHeight="1">
      <c r="A394" s="425">
        <v>3</v>
      </c>
      <c r="B394" s="120" t="s">
        <v>819</v>
      </c>
      <c r="C394" s="196" t="s">
        <v>3256</v>
      </c>
      <c r="D394" s="122" t="s">
        <v>3257</v>
      </c>
      <c r="E394" s="123">
        <v>28650</v>
      </c>
      <c r="F394" s="124" t="s">
        <v>17</v>
      </c>
      <c r="G394" s="124" t="s">
        <v>820</v>
      </c>
      <c r="H394" s="283"/>
      <c r="I394" s="320"/>
      <c r="J394" s="422"/>
    </row>
    <row r="395" spans="1:10" ht="27" customHeight="1">
      <c r="A395" s="425">
        <v>4</v>
      </c>
      <c r="B395" s="120" t="s">
        <v>821</v>
      </c>
      <c r="C395" s="196" t="s">
        <v>3285</v>
      </c>
      <c r="D395" s="122" t="s">
        <v>3284</v>
      </c>
      <c r="E395" s="123">
        <v>29673</v>
      </c>
      <c r="F395" s="124" t="s">
        <v>13</v>
      </c>
      <c r="G395" s="124">
        <v>9717388345</v>
      </c>
      <c r="H395" s="283"/>
      <c r="I395" s="320"/>
      <c r="J395" s="422"/>
    </row>
    <row r="396" spans="1:10" ht="27" customHeight="1">
      <c r="A396" s="425">
        <v>5</v>
      </c>
      <c r="B396" s="120" t="s">
        <v>3293</v>
      </c>
      <c r="C396" s="196" t="s">
        <v>3294</v>
      </c>
      <c r="D396" s="122" t="s">
        <v>3284</v>
      </c>
      <c r="E396" s="123">
        <v>29849</v>
      </c>
      <c r="F396" s="124" t="s">
        <v>2814</v>
      </c>
      <c r="G396" s="124"/>
      <c r="H396" s="283"/>
      <c r="I396" s="320"/>
      <c r="J396" s="422"/>
    </row>
    <row r="397" spans="1:10" ht="27" customHeight="1">
      <c r="A397" s="425">
        <v>6</v>
      </c>
      <c r="B397" s="120" t="s">
        <v>3227</v>
      </c>
      <c r="C397" s="196" t="s">
        <v>3226</v>
      </c>
      <c r="D397" s="122" t="s">
        <v>3225</v>
      </c>
      <c r="E397" s="123">
        <v>114499</v>
      </c>
      <c r="F397" s="124" t="s">
        <v>2814</v>
      </c>
      <c r="G397" s="124"/>
      <c r="H397" s="283"/>
      <c r="I397" s="320"/>
      <c r="J397" s="422"/>
    </row>
    <row r="398" spans="1:10" ht="27" customHeight="1">
      <c r="A398" s="425">
        <v>7</v>
      </c>
      <c r="B398" s="120" t="s">
        <v>3040</v>
      </c>
      <c r="C398" s="196" t="s">
        <v>3039</v>
      </c>
      <c r="D398" s="122" t="s">
        <v>1087</v>
      </c>
      <c r="E398" s="123">
        <v>1184</v>
      </c>
      <c r="F398" s="124" t="s">
        <v>3041</v>
      </c>
      <c r="G398" s="124"/>
      <c r="H398" s="283"/>
      <c r="I398" s="320"/>
      <c r="J398" s="422"/>
    </row>
    <row r="399" spans="1:10" ht="27" customHeight="1">
      <c r="A399" s="425">
        <v>8</v>
      </c>
      <c r="B399" s="120" t="s">
        <v>822</v>
      </c>
      <c r="C399" s="196" t="s">
        <v>823</v>
      </c>
      <c r="D399" s="122" t="s">
        <v>3302</v>
      </c>
      <c r="E399" s="123">
        <v>42446</v>
      </c>
      <c r="F399" s="124" t="s">
        <v>13</v>
      </c>
      <c r="G399" s="124">
        <v>9540000214</v>
      </c>
      <c r="H399" s="283"/>
      <c r="I399" s="320"/>
      <c r="J399" s="422"/>
    </row>
    <row r="400" spans="1:10" ht="27" customHeight="1">
      <c r="A400" s="425">
        <v>9</v>
      </c>
      <c r="B400" s="120" t="s">
        <v>3261</v>
      </c>
      <c r="C400" s="196" t="s">
        <v>3260</v>
      </c>
      <c r="D400" s="122" t="s">
        <v>3259</v>
      </c>
      <c r="E400" s="123">
        <v>74786</v>
      </c>
      <c r="F400" s="124" t="s">
        <v>13</v>
      </c>
      <c r="G400" s="124" t="s">
        <v>824</v>
      </c>
      <c r="H400" s="283"/>
      <c r="I400" s="320"/>
      <c r="J400" s="422"/>
    </row>
    <row r="401" spans="1:11" s="270" customFormat="1" ht="27" customHeight="1">
      <c r="A401" s="425">
        <v>10</v>
      </c>
      <c r="B401" s="120" t="s">
        <v>825</v>
      </c>
      <c r="C401" s="196" t="s">
        <v>3311</v>
      </c>
      <c r="D401" s="122" t="s">
        <v>3229</v>
      </c>
      <c r="E401" s="123">
        <v>23247</v>
      </c>
      <c r="F401" s="124" t="s">
        <v>2836</v>
      </c>
      <c r="G401" s="1124" t="s">
        <v>826</v>
      </c>
      <c r="H401" s="1115"/>
      <c r="I401" s="1131"/>
      <c r="J401" s="422"/>
      <c r="K401" s="127"/>
    </row>
    <row r="402" spans="1:11" ht="27" customHeight="1">
      <c r="A402" s="425">
        <v>11</v>
      </c>
      <c r="B402" s="120" t="s">
        <v>827</v>
      </c>
      <c r="C402" s="194" t="s">
        <v>3326</v>
      </c>
      <c r="D402" s="279" t="s">
        <v>3229</v>
      </c>
      <c r="E402" s="280">
        <v>20485</v>
      </c>
      <c r="F402" s="282" t="s">
        <v>13</v>
      </c>
      <c r="G402" s="1125"/>
      <c r="H402" s="1116"/>
      <c r="I402" s="1132"/>
      <c r="J402" s="422"/>
    </row>
    <row r="403" spans="1:11" ht="27" customHeight="1">
      <c r="A403" s="425">
        <v>12</v>
      </c>
      <c r="B403" s="120" t="s">
        <v>3288</v>
      </c>
      <c r="C403" s="194" t="s">
        <v>3289</v>
      </c>
      <c r="D403" s="279" t="s">
        <v>3161</v>
      </c>
      <c r="E403" s="280">
        <v>46646</v>
      </c>
      <c r="F403" s="124" t="s">
        <v>2836</v>
      </c>
      <c r="G403" s="124">
        <v>9899189659</v>
      </c>
      <c r="H403" s="283" t="s">
        <v>855</v>
      </c>
      <c r="I403" s="320"/>
      <c r="J403" s="422"/>
    </row>
    <row r="404" spans="1:11" ht="27" customHeight="1">
      <c r="A404" s="425">
        <v>13</v>
      </c>
      <c r="B404" s="120" t="s">
        <v>828</v>
      </c>
      <c r="C404" s="194" t="s">
        <v>3162</v>
      </c>
      <c r="D404" s="279" t="s">
        <v>3161</v>
      </c>
      <c r="E404" s="280">
        <v>51586</v>
      </c>
      <c r="F404" s="282" t="s">
        <v>223</v>
      </c>
      <c r="G404" s="282" t="s">
        <v>829</v>
      </c>
      <c r="H404" s="283"/>
      <c r="I404" s="300"/>
      <c r="J404" s="422"/>
    </row>
    <row r="405" spans="1:11" ht="27" customHeight="1">
      <c r="A405" s="425">
        <v>14</v>
      </c>
      <c r="B405" s="120" t="s">
        <v>3333</v>
      </c>
      <c r="C405" s="194" t="s">
        <v>3334</v>
      </c>
      <c r="D405" s="279" t="s">
        <v>3332</v>
      </c>
      <c r="E405" s="280">
        <v>46148</v>
      </c>
      <c r="F405" s="282" t="s">
        <v>69</v>
      </c>
      <c r="G405" s="282"/>
      <c r="H405" s="283" t="s">
        <v>3336</v>
      </c>
      <c r="I405" s="750" t="s">
        <v>3335</v>
      </c>
      <c r="J405" s="422"/>
    </row>
    <row r="406" spans="1:11" ht="27" customHeight="1">
      <c r="A406" s="425">
        <v>15</v>
      </c>
      <c r="B406" s="120" t="s">
        <v>830</v>
      </c>
      <c r="C406" s="194" t="s">
        <v>3340</v>
      </c>
      <c r="D406" s="279" t="s">
        <v>3341</v>
      </c>
      <c r="E406" s="280">
        <v>27376</v>
      </c>
      <c r="F406" s="282" t="s">
        <v>13</v>
      </c>
      <c r="G406" s="282">
        <v>9899880878</v>
      </c>
      <c r="H406" s="283"/>
      <c r="I406" s="750"/>
      <c r="J406" s="422"/>
    </row>
    <row r="407" spans="1:11" ht="27" customHeight="1">
      <c r="A407" s="425">
        <v>16</v>
      </c>
      <c r="B407" s="120" t="s">
        <v>831</v>
      </c>
      <c r="C407" s="194" t="s">
        <v>3330</v>
      </c>
      <c r="D407" s="279" t="s">
        <v>3331</v>
      </c>
      <c r="E407" s="280">
        <v>19550</v>
      </c>
      <c r="F407" s="282" t="s">
        <v>17</v>
      </c>
      <c r="G407" s="282" t="s">
        <v>833</v>
      </c>
      <c r="H407" s="283"/>
      <c r="I407" s="300"/>
      <c r="J407" s="422"/>
    </row>
    <row r="408" spans="1:11" ht="27" customHeight="1">
      <c r="A408" s="425">
        <v>17</v>
      </c>
      <c r="B408" s="120" t="s">
        <v>835</v>
      </c>
      <c r="C408" s="194" t="s">
        <v>3339</v>
      </c>
      <c r="D408" s="279" t="s">
        <v>3271</v>
      </c>
      <c r="E408" s="280">
        <v>43043</v>
      </c>
      <c r="F408" s="282" t="s">
        <v>17</v>
      </c>
      <c r="G408" s="282">
        <v>9873470847</v>
      </c>
      <c r="H408" s="283"/>
      <c r="I408" s="300"/>
      <c r="J408" s="422"/>
    </row>
    <row r="409" spans="1:11" ht="27" customHeight="1">
      <c r="A409" s="425">
        <v>18</v>
      </c>
      <c r="B409" s="120" t="s">
        <v>836</v>
      </c>
      <c r="C409" s="194" t="s">
        <v>3291</v>
      </c>
      <c r="D409" s="279" t="s">
        <v>3271</v>
      </c>
      <c r="E409" s="280">
        <v>43525</v>
      </c>
      <c r="F409" s="282" t="s">
        <v>17</v>
      </c>
      <c r="G409" s="282">
        <v>9953390489</v>
      </c>
      <c r="H409" s="283"/>
      <c r="I409" s="300"/>
      <c r="J409" s="422"/>
    </row>
    <row r="410" spans="1:11" ht="27" customHeight="1">
      <c r="A410" s="425">
        <v>19</v>
      </c>
      <c r="B410" s="120" t="s">
        <v>837</v>
      </c>
      <c r="C410" s="194" t="s">
        <v>3292</v>
      </c>
      <c r="D410" s="279" t="s">
        <v>3271</v>
      </c>
      <c r="E410" s="280">
        <v>11809</v>
      </c>
      <c r="F410" s="282" t="s">
        <v>17</v>
      </c>
      <c r="G410" s="282">
        <v>9654080550</v>
      </c>
      <c r="H410" s="283"/>
      <c r="I410" s="300"/>
      <c r="J410" s="422"/>
    </row>
    <row r="411" spans="1:11" ht="27" customHeight="1">
      <c r="A411" s="425">
        <v>20</v>
      </c>
      <c r="B411" s="120" t="s">
        <v>3356</v>
      </c>
      <c r="C411" s="194" t="s">
        <v>3358</v>
      </c>
      <c r="D411" s="279" t="s">
        <v>1091</v>
      </c>
      <c r="E411" s="280">
        <v>33177</v>
      </c>
      <c r="F411" s="282" t="s">
        <v>3357</v>
      </c>
      <c r="G411" s="282" t="s">
        <v>3359</v>
      </c>
      <c r="H411" s="283"/>
      <c r="I411" s="300"/>
      <c r="J411" s="422"/>
    </row>
    <row r="412" spans="1:11" ht="27" customHeight="1">
      <c r="A412" s="425">
        <v>21</v>
      </c>
      <c r="B412" s="120" t="s">
        <v>3314</v>
      </c>
      <c r="C412" s="194" t="s">
        <v>3315</v>
      </c>
      <c r="D412" s="279" t="s">
        <v>3316</v>
      </c>
      <c r="E412" s="280">
        <v>5169</v>
      </c>
      <c r="F412" s="282" t="s">
        <v>3041</v>
      </c>
      <c r="G412" s="282"/>
      <c r="H412" s="283" t="s">
        <v>3088</v>
      </c>
      <c r="I412" s="300"/>
      <c r="J412" s="422"/>
    </row>
    <row r="413" spans="1:11" ht="27" customHeight="1">
      <c r="A413" s="425">
        <v>22</v>
      </c>
      <c r="B413" s="120" t="s">
        <v>838</v>
      </c>
      <c r="C413" s="194" t="s">
        <v>3279</v>
      </c>
      <c r="D413" s="279" t="s">
        <v>3278</v>
      </c>
      <c r="E413" s="280">
        <v>35275</v>
      </c>
      <c r="F413" s="282" t="s">
        <v>13</v>
      </c>
      <c r="G413" s="282" t="s">
        <v>839</v>
      </c>
      <c r="H413" s="283"/>
      <c r="I413" s="300"/>
      <c r="J413" s="422"/>
    </row>
    <row r="414" spans="1:11" ht="27" customHeight="1">
      <c r="A414" s="425">
        <v>23</v>
      </c>
      <c r="B414" s="120" t="s">
        <v>3322</v>
      </c>
      <c r="C414" s="194" t="s">
        <v>3323</v>
      </c>
      <c r="D414" s="279" t="s">
        <v>3321</v>
      </c>
      <c r="E414" s="280">
        <v>68584</v>
      </c>
      <c r="F414" s="282" t="s">
        <v>2814</v>
      </c>
      <c r="G414" s="282"/>
      <c r="H414" s="283"/>
      <c r="I414" s="300"/>
      <c r="J414" s="422"/>
    </row>
    <row r="415" spans="1:11" ht="27" customHeight="1">
      <c r="A415" s="425">
        <v>24</v>
      </c>
      <c r="B415" s="120" t="s">
        <v>834</v>
      </c>
      <c r="C415" s="194" t="s">
        <v>3370</v>
      </c>
      <c r="D415" s="279" t="s">
        <v>3344</v>
      </c>
      <c r="E415" s="280">
        <v>30144</v>
      </c>
      <c r="F415" s="282" t="s">
        <v>17</v>
      </c>
      <c r="G415" s="282">
        <v>9997633359</v>
      </c>
      <c r="H415" s="283"/>
      <c r="I415" s="300"/>
      <c r="J415" s="422"/>
    </row>
    <row r="416" spans="1:11" ht="27" customHeight="1">
      <c r="A416" s="425">
        <v>25</v>
      </c>
      <c r="B416" s="120" t="s">
        <v>844</v>
      </c>
      <c r="C416" s="194" t="s">
        <v>3395</v>
      </c>
      <c r="D416" s="279" t="s">
        <v>3344</v>
      </c>
      <c r="E416" s="280">
        <v>26953</v>
      </c>
      <c r="F416" s="282" t="s">
        <v>17</v>
      </c>
      <c r="G416" s="282" t="s">
        <v>846</v>
      </c>
      <c r="H416" s="283" t="s">
        <v>593</v>
      </c>
      <c r="I416" s="300"/>
      <c r="J416" s="422"/>
    </row>
    <row r="417" spans="1:10" s="270" customFormat="1" ht="27" customHeight="1">
      <c r="A417" s="425">
        <v>26</v>
      </c>
      <c r="B417" s="120" t="s">
        <v>847</v>
      </c>
      <c r="C417" s="196" t="s">
        <v>3258</v>
      </c>
      <c r="D417" s="122" t="s">
        <v>3234</v>
      </c>
      <c r="E417" s="123">
        <v>17190</v>
      </c>
      <c r="F417" s="124" t="s">
        <v>427</v>
      </c>
      <c r="G417" s="124" t="s">
        <v>810</v>
      </c>
      <c r="H417" s="318"/>
      <c r="I417" s="320"/>
      <c r="J417" s="599"/>
    </row>
    <row r="418" spans="1:10" s="270" customFormat="1" ht="27" customHeight="1">
      <c r="A418" s="425">
        <v>27</v>
      </c>
      <c r="B418" s="120" t="s">
        <v>2858</v>
      </c>
      <c r="C418" s="196" t="s">
        <v>848</v>
      </c>
      <c r="D418" s="122" t="s">
        <v>849</v>
      </c>
      <c r="E418" s="123">
        <v>66626</v>
      </c>
      <c r="F418" s="124" t="s">
        <v>17</v>
      </c>
      <c r="G418" s="124" t="s">
        <v>850</v>
      </c>
      <c r="H418" s="318"/>
      <c r="I418" s="320"/>
      <c r="J418" s="599"/>
    </row>
    <row r="419" spans="1:10" s="270" customFormat="1" ht="27" customHeight="1">
      <c r="A419" s="425">
        <v>28</v>
      </c>
      <c r="B419" s="120" t="s">
        <v>851</v>
      </c>
      <c r="C419" s="196" t="s">
        <v>3383</v>
      </c>
      <c r="D419" s="122" t="s">
        <v>1083</v>
      </c>
      <c r="E419" s="123">
        <v>19509</v>
      </c>
      <c r="F419" s="124" t="s">
        <v>17</v>
      </c>
      <c r="G419" s="576"/>
      <c r="H419" s="318" t="s">
        <v>365</v>
      </c>
      <c r="I419" s="320"/>
      <c r="J419" s="599"/>
    </row>
    <row r="420" spans="1:10" s="270" customFormat="1" ht="27" customHeight="1">
      <c r="A420" s="425">
        <v>29</v>
      </c>
      <c r="B420" s="120" t="s">
        <v>3390</v>
      </c>
      <c r="C420" s="196" t="s">
        <v>3389</v>
      </c>
      <c r="D420" s="122" t="s">
        <v>3387</v>
      </c>
      <c r="E420" s="123">
        <v>29484</v>
      </c>
      <c r="F420" s="124" t="s">
        <v>17</v>
      </c>
      <c r="G420" s="124">
        <v>9717861866</v>
      </c>
      <c r="H420" s="318"/>
      <c r="I420" s="320"/>
      <c r="J420" s="599"/>
    </row>
    <row r="421" spans="1:10" s="270" customFormat="1" ht="27" customHeight="1">
      <c r="A421" s="425">
        <v>30</v>
      </c>
      <c r="B421" s="120" t="s">
        <v>452</v>
      </c>
      <c r="C421" s="196" t="s">
        <v>3385</v>
      </c>
      <c r="D421" s="122" t="s">
        <v>3388</v>
      </c>
      <c r="E421" s="123">
        <v>48525</v>
      </c>
      <c r="F421" s="124" t="s">
        <v>3386</v>
      </c>
      <c r="G421" s="124">
        <v>8860886392</v>
      </c>
      <c r="H421" s="318"/>
      <c r="I421" s="320"/>
      <c r="J421" s="599"/>
    </row>
    <row r="422" spans="1:10" s="270" customFormat="1" ht="27" customHeight="1" thickBot="1">
      <c r="A422" s="425">
        <v>31</v>
      </c>
      <c r="B422" s="120" t="s">
        <v>3394</v>
      </c>
      <c r="C422" s="196" t="s">
        <v>3393</v>
      </c>
      <c r="D422" s="122" t="s">
        <v>3388</v>
      </c>
      <c r="E422" s="123">
        <v>85657</v>
      </c>
      <c r="F422" s="124" t="s">
        <v>13</v>
      </c>
      <c r="G422" s="282">
        <v>9999687476</v>
      </c>
      <c r="H422" s="318"/>
      <c r="I422" s="320"/>
      <c r="J422" s="599"/>
    </row>
    <row r="423" spans="1:10" s="271" customFormat="1" ht="40" customHeight="1" thickBot="1">
      <c r="A423" s="423"/>
      <c r="B423" s="331">
        <f>A422+A388+A361+A333+A282+A256+A224+A201+A175+A149+A86+A27</f>
        <v>376</v>
      </c>
      <c r="C423" s="1119" t="s">
        <v>2279</v>
      </c>
      <c r="D423" s="1119"/>
      <c r="E423" s="332">
        <f>SUM(E4:E422)</f>
        <v>16918392</v>
      </c>
      <c r="F423" s="333"/>
      <c r="G423" s="333"/>
      <c r="H423" s="333"/>
      <c r="I423" s="337"/>
      <c r="J423" s="407"/>
    </row>
    <row r="424" spans="1:10" s="64" customFormat="1" ht="40" customHeight="1">
      <c r="C424" s="265"/>
      <c r="D424" s="265"/>
      <c r="E424" s="334">
        <f>E423/100000</f>
        <v>169.18392</v>
      </c>
      <c r="F424" s="266"/>
      <c r="G424" s="266"/>
      <c r="J424" s="408"/>
    </row>
    <row r="426" spans="1:10">
      <c r="E426" s="335"/>
    </row>
  </sheetData>
  <mergeCells count="44">
    <mergeCell ref="H401:H402"/>
    <mergeCell ref="H330:H331"/>
    <mergeCell ref="H325:H326"/>
    <mergeCell ref="H300:H302"/>
    <mergeCell ref="I59:I60"/>
    <mergeCell ref="I90:I91"/>
    <mergeCell ref="I140:I141"/>
    <mergeCell ref="I401:I402"/>
    <mergeCell ref="I196:I197"/>
    <mergeCell ref="I199:I200"/>
    <mergeCell ref="I244:I245"/>
    <mergeCell ref="I82:I83"/>
    <mergeCell ref="C423:D423"/>
    <mergeCell ref="G17:G18"/>
    <mergeCell ref="G38:G39"/>
    <mergeCell ref="G59:G60"/>
    <mergeCell ref="G90:G91"/>
    <mergeCell ref="G134:G135"/>
    <mergeCell ref="G140:G141"/>
    <mergeCell ref="G142:G143"/>
    <mergeCell ref="G196:G197"/>
    <mergeCell ref="G199:G200"/>
    <mergeCell ref="G354:G355"/>
    <mergeCell ref="G401:G402"/>
    <mergeCell ref="G137:G138"/>
    <mergeCell ref="G358:G359"/>
    <mergeCell ref="G132:G133"/>
    <mergeCell ref="G292:G293"/>
    <mergeCell ref="A1:I1"/>
    <mergeCell ref="A2:I2"/>
    <mergeCell ref="H196:H197"/>
    <mergeCell ref="H199:H200"/>
    <mergeCell ref="I330:I331"/>
    <mergeCell ref="G330:G331"/>
    <mergeCell ref="G193:G194"/>
    <mergeCell ref="H38:H39"/>
    <mergeCell ref="H59:H60"/>
    <mergeCell ref="H90:H91"/>
    <mergeCell ref="H140:H141"/>
    <mergeCell ref="G244:G245"/>
    <mergeCell ref="G288:G289"/>
    <mergeCell ref="H244:H245"/>
    <mergeCell ref="I38:I39"/>
    <mergeCell ref="G319:G320"/>
  </mergeCells>
  <phoneticPr fontId="69" type="noConversion"/>
  <pageMargins left="0.24" right="0" top="0.2" bottom="0" header="0" footer="0"/>
  <pageSetup scale="58" orientation="landscape" horizontalDpi="4294967293" r:id="rId1"/>
  <ignoredErrors>
    <ignoredError sqref="B2:I2 B29:I29 F5:H5 B26 G64:H64 G81:I81 B64 F78 B1:I1 A3:E3 G3:I3 G145 G229:G230 G287 G356 G195:G196 G327 G199 G385 G382:G383 G65:I65 F24:I24 F26 I26 G423:G424 G75 F71 B81 G136:G137 G102:G103 G111 G188:G189 G205 G223 G209 G269:G270 G318 G294:G295 F68:G68 I68 I78 G400 G8 I8 G406:G407 G63 G46 G40 G69:I69 G52 G51 G117 I51:I52 G124 G139 G95 G127:G130 G161 G186 G181:G182 G220 G252 G394:G395 G315 F408:G409 G416:G418 I6 F6:G6 G93 B24 I75 G110 G165 G53 G157 G184 G191 G192:G193 G254:G256 G250 G214:G217 G241 G247:G248 G275:G277 G313 G322 G370:G371 G376:G377 G413 G404 H71:I7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1454817346722"/>
  </sheetPr>
  <dimension ref="A1:J270"/>
  <sheetViews>
    <sheetView topLeftCell="A92" zoomScale="85" zoomScaleNormal="85" workbookViewId="0">
      <selection activeCell="C100" sqref="C100"/>
    </sheetView>
  </sheetViews>
  <sheetFormatPr defaultColWidth="9.1796875" defaultRowHeight="33.75" customHeight="1"/>
  <cols>
    <col min="1" max="1" width="5.08984375" style="1" bestFit="1" customWidth="1"/>
    <col min="2" max="2" width="44.36328125" style="1" bestFit="1" customWidth="1"/>
    <col min="3" max="3" width="46.453125" style="1" bestFit="1" customWidth="1"/>
    <col min="4" max="4" width="13.6328125" style="1" customWidth="1"/>
    <col min="5" max="5" width="12.08984375" style="1" bestFit="1" customWidth="1"/>
    <col min="6" max="6" width="14.1796875" style="66" customWidth="1"/>
    <col min="7" max="7" width="16.54296875" style="66" customWidth="1"/>
    <col min="8" max="8" width="23.81640625" style="1" bestFit="1" customWidth="1"/>
    <col min="9" max="9" width="24.90625" style="1" customWidth="1"/>
    <col min="10" max="10" width="5" style="851" bestFit="1" customWidth="1"/>
    <col min="11" max="16384" width="9.1796875" style="1"/>
  </cols>
  <sheetData>
    <row r="1" spans="1:10" ht="25" customHeight="1" thickBot="1">
      <c r="A1" s="1028" t="s">
        <v>852</v>
      </c>
      <c r="B1" s="1029"/>
      <c r="C1" s="1029"/>
      <c r="D1" s="1029"/>
      <c r="E1" s="1029"/>
      <c r="F1" s="1029"/>
      <c r="G1" s="1029"/>
      <c r="H1" s="1029"/>
      <c r="I1" s="1030"/>
    </row>
    <row r="2" spans="1:10" ht="20.149999999999999" customHeight="1" thickBot="1">
      <c r="A2" s="1031" t="s">
        <v>853</v>
      </c>
      <c r="B2" s="1032"/>
      <c r="C2" s="1032"/>
      <c r="D2" s="1032"/>
      <c r="E2" s="1032"/>
      <c r="F2" s="1032"/>
      <c r="G2" s="1032"/>
      <c r="H2" s="1032"/>
      <c r="I2" s="1033"/>
    </row>
    <row r="3" spans="1:10" ht="25" customHeight="1" thickBot="1">
      <c r="A3" s="444" t="s">
        <v>2</v>
      </c>
      <c r="B3" s="205" t="s">
        <v>3</v>
      </c>
      <c r="C3" s="205" t="s">
        <v>4</v>
      </c>
      <c r="D3" s="206" t="s">
        <v>5</v>
      </c>
      <c r="E3" s="205" t="s">
        <v>6</v>
      </c>
      <c r="F3" s="205" t="s">
        <v>7</v>
      </c>
      <c r="G3" s="205" t="s">
        <v>8</v>
      </c>
      <c r="H3" s="205" t="s">
        <v>9</v>
      </c>
      <c r="I3" s="231" t="s">
        <v>10</v>
      </c>
      <c r="J3" s="851">
        <v>1</v>
      </c>
    </row>
    <row r="4" spans="1:10" ht="31" customHeight="1">
      <c r="A4" s="43">
        <v>1</v>
      </c>
      <c r="B4" s="207" t="s">
        <v>3415</v>
      </c>
      <c r="C4" s="185" t="s">
        <v>3414</v>
      </c>
      <c r="D4" s="208" t="s">
        <v>3416</v>
      </c>
      <c r="E4" s="209">
        <v>78890</v>
      </c>
      <c r="F4" s="210" t="s">
        <v>13</v>
      </c>
      <c r="G4" s="211">
        <v>9654716065</v>
      </c>
      <c r="H4" s="212"/>
      <c r="I4" s="232"/>
    </row>
    <row r="5" spans="1:10" ht="31" customHeight="1">
      <c r="A5" s="43">
        <v>2</v>
      </c>
      <c r="B5" s="207" t="s">
        <v>854</v>
      </c>
      <c r="C5" s="185" t="s">
        <v>3380</v>
      </c>
      <c r="D5" s="208" t="s">
        <v>3381</v>
      </c>
      <c r="E5" s="209">
        <v>57029</v>
      </c>
      <c r="F5" s="210" t="s">
        <v>13</v>
      </c>
      <c r="G5" s="210">
        <v>5725</v>
      </c>
      <c r="H5" s="185" t="s">
        <v>855</v>
      </c>
      <c r="I5" s="232"/>
      <c r="J5" s="945"/>
    </row>
    <row r="6" spans="1:10" ht="31" customHeight="1">
      <c r="A6" s="43">
        <v>3</v>
      </c>
      <c r="B6" s="207" t="s">
        <v>859</v>
      </c>
      <c r="C6" s="185" t="s">
        <v>3379</v>
      </c>
      <c r="D6" s="208" t="s">
        <v>3366</v>
      </c>
      <c r="E6" s="209">
        <v>29113</v>
      </c>
      <c r="F6" s="210" t="s">
        <v>17</v>
      </c>
      <c r="G6" s="210">
        <v>9555872007</v>
      </c>
      <c r="H6" s="185" t="s">
        <v>860</v>
      </c>
      <c r="I6" s="232"/>
      <c r="J6" s="945"/>
    </row>
    <row r="7" spans="1:10" ht="31" customHeight="1">
      <c r="A7" s="43">
        <v>4</v>
      </c>
      <c r="B7" s="207" t="s">
        <v>861</v>
      </c>
      <c r="C7" s="185" t="s">
        <v>862</v>
      </c>
      <c r="D7" s="208" t="s">
        <v>863</v>
      </c>
      <c r="E7" s="209">
        <v>63791</v>
      </c>
      <c r="F7" s="210" t="s">
        <v>13</v>
      </c>
      <c r="G7" s="1035">
        <v>8700600103</v>
      </c>
      <c r="H7" s="42"/>
      <c r="I7" s="232"/>
    </row>
    <row r="8" spans="1:10" ht="31" customHeight="1">
      <c r="A8" s="43">
        <v>5</v>
      </c>
      <c r="B8" s="207" t="s">
        <v>861</v>
      </c>
      <c r="C8" s="185" t="s">
        <v>864</v>
      </c>
      <c r="D8" s="208" t="s">
        <v>863</v>
      </c>
      <c r="E8" s="209">
        <v>11271</v>
      </c>
      <c r="F8" s="210" t="s">
        <v>865</v>
      </c>
      <c r="G8" s="1036"/>
      <c r="H8" s="42"/>
      <c r="I8" s="232"/>
    </row>
    <row r="9" spans="1:10" ht="31" customHeight="1">
      <c r="A9" s="43">
        <v>6</v>
      </c>
      <c r="B9" s="207" t="s">
        <v>866</v>
      </c>
      <c r="C9" s="185" t="s">
        <v>3365</v>
      </c>
      <c r="D9" s="208" t="s">
        <v>3366</v>
      </c>
      <c r="E9" s="209">
        <v>2853</v>
      </c>
      <c r="F9" s="210" t="s">
        <v>867</v>
      </c>
      <c r="G9" s="1037">
        <v>9818864346</v>
      </c>
      <c r="H9" s="42"/>
      <c r="I9" s="232"/>
      <c r="J9" s="945"/>
    </row>
    <row r="10" spans="1:10" ht="31" customHeight="1">
      <c r="A10" s="43">
        <v>7</v>
      </c>
      <c r="B10" s="207" t="s">
        <v>868</v>
      </c>
      <c r="C10" s="185" t="s">
        <v>3363</v>
      </c>
      <c r="D10" s="208" t="s">
        <v>3364</v>
      </c>
      <c r="E10" s="209">
        <v>36479</v>
      </c>
      <c r="F10" s="210" t="s">
        <v>13</v>
      </c>
      <c r="G10" s="1038"/>
      <c r="H10" s="42"/>
      <c r="I10" s="235"/>
      <c r="J10" s="945"/>
    </row>
    <row r="11" spans="1:10" ht="31" customHeight="1">
      <c r="A11" s="43">
        <v>8</v>
      </c>
      <c r="B11" s="207" t="s">
        <v>252</v>
      </c>
      <c r="C11" s="185" t="s">
        <v>3412</v>
      </c>
      <c r="D11" s="208" t="s">
        <v>3413</v>
      </c>
      <c r="E11" s="209">
        <v>31052</v>
      </c>
      <c r="F11" s="210" t="s">
        <v>13</v>
      </c>
      <c r="G11" s="210">
        <v>9953237145</v>
      </c>
      <c r="H11" s="185" t="s">
        <v>869</v>
      </c>
      <c r="I11" s="232"/>
      <c r="J11" s="945"/>
    </row>
    <row r="12" spans="1:10" ht="31" customHeight="1">
      <c r="A12" s="43">
        <v>9</v>
      </c>
      <c r="B12" s="207" t="s">
        <v>870</v>
      </c>
      <c r="C12" s="185" t="s">
        <v>3419</v>
      </c>
      <c r="D12" s="208" t="s">
        <v>3364</v>
      </c>
      <c r="E12" s="209">
        <v>31573</v>
      </c>
      <c r="F12" s="210" t="s">
        <v>13</v>
      </c>
      <c r="G12" s="210">
        <v>9810161601</v>
      </c>
      <c r="H12" s="185"/>
      <c r="I12" s="232"/>
      <c r="J12" s="945"/>
    </row>
    <row r="13" spans="1:10" ht="31" customHeight="1">
      <c r="A13" s="43">
        <v>10</v>
      </c>
      <c r="B13" s="207" t="s">
        <v>874</v>
      </c>
      <c r="C13" s="185" t="s">
        <v>3462</v>
      </c>
      <c r="D13" s="208" t="s">
        <v>3463</v>
      </c>
      <c r="E13" s="209">
        <v>47700</v>
      </c>
      <c r="F13" s="210" t="s">
        <v>13</v>
      </c>
      <c r="G13" s="210">
        <v>9711432993</v>
      </c>
      <c r="H13" s="185"/>
      <c r="I13" s="232"/>
    </row>
    <row r="14" spans="1:10" ht="31" customHeight="1">
      <c r="A14" s="43">
        <v>11</v>
      </c>
      <c r="B14" s="207" t="s">
        <v>3465</v>
      </c>
      <c r="C14" s="185" t="s">
        <v>3464</v>
      </c>
      <c r="D14" s="208" t="s">
        <v>890</v>
      </c>
      <c r="E14" s="209">
        <v>22664</v>
      </c>
      <c r="F14" s="210" t="s">
        <v>13</v>
      </c>
      <c r="G14" s="210">
        <v>8447036968</v>
      </c>
      <c r="H14" s="185"/>
      <c r="I14" s="232"/>
    </row>
    <row r="15" spans="1:10" ht="31" customHeight="1">
      <c r="A15" s="43">
        <v>12</v>
      </c>
      <c r="B15" s="207" t="s">
        <v>877</v>
      </c>
      <c r="C15" s="185" t="s">
        <v>3437</v>
      </c>
      <c r="D15" s="208" t="s">
        <v>3438</v>
      </c>
      <c r="E15" s="209">
        <v>29388</v>
      </c>
      <c r="F15" s="210" t="s">
        <v>99</v>
      </c>
      <c r="G15" s="210">
        <v>9999853743</v>
      </c>
      <c r="H15" s="185" t="s">
        <v>878</v>
      </c>
      <c r="I15" s="232"/>
    </row>
    <row r="16" spans="1:10" ht="31" customHeight="1">
      <c r="A16" s="43">
        <v>13</v>
      </c>
      <c r="B16" s="207" t="s">
        <v>3384</v>
      </c>
      <c r="C16" s="185" t="s">
        <v>879</v>
      </c>
      <c r="D16" s="208" t="s">
        <v>880</v>
      </c>
      <c r="E16" s="209">
        <v>114199</v>
      </c>
      <c r="F16" s="210" t="s">
        <v>13</v>
      </c>
      <c r="G16" s="210">
        <v>7678673732</v>
      </c>
      <c r="H16" s="185"/>
      <c r="I16" s="232"/>
    </row>
    <row r="17" spans="1:10" ht="31" customHeight="1">
      <c r="A17" s="43">
        <v>14</v>
      </c>
      <c r="B17" s="207" t="s">
        <v>3470</v>
      </c>
      <c r="C17" s="185" t="s">
        <v>3468</v>
      </c>
      <c r="D17" s="208" t="s">
        <v>3469</v>
      </c>
      <c r="E17" s="209">
        <v>49951</v>
      </c>
      <c r="F17" s="210" t="s">
        <v>13</v>
      </c>
      <c r="G17" s="210">
        <v>7389680608</v>
      </c>
      <c r="H17" s="185" t="s">
        <v>881</v>
      </c>
      <c r="I17" s="232"/>
    </row>
    <row r="18" spans="1:10" ht="31" customHeight="1">
      <c r="A18" s="43">
        <v>15</v>
      </c>
      <c r="B18" s="207" t="s">
        <v>882</v>
      </c>
      <c r="C18" s="185" t="s">
        <v>3307</v>
      </c>
      <c r="D18" s="208" t="s">
        <v>886</v>
      </c>
      <c r="E18" s="209">
        <v>65629</v>
      </c>
      <c r="F18" s="210" t="s">
        <v>13</v>
      </c>
      <c r="G18" s="210">
        <v>9811114286</v>
      </c>
      <c r="H18" s="185">
        <v>9810195886</v>
      </c>
      <c r="I18" s="232"/>
    </row>
    <row r="19" spans="1:10" ht="31" customHeight="1">
      <c r="A19" s="43">
        <v>16</v>
      </c>
      <c r="B19" s="207" t="s">
        <v>3297</v>
      </c>
      <c r="C19" s="185" t="s">
        <v>3466</v>
      </c>
      <c r="D19" s="208" t="s">
        <v>3441</v>
      </c>
      <c r="E19" s="209">
        <v>2009</v>
      </c>
      <c r="F19" s="210" t="s">
        <v>223</v>
      </c>
      <c r="G19" s="210">
        <v>9810330676</v>
      </c>
      <c r="H19" s="185"/>
      <c r="I19" s="232"/>
    </row>
    <row r="20" spans="1:10" ht="31" customHeight="1">
      <c r="A20" s="43">
        <v>17</v>
      </c>
      <c r="B20" s="207" t="s">
        <v>884</v>
      </c>
      <c r="C20" s="185" t="s">
        <v>885</v>
      </c>
      <c r="D20" s="208" t="s">
        <v>886</v>
      </c>
      <c r="E20" s="214">
        <v>5158</v>
      </c>
      <c r="F20" s="215" t="s">
        <v>887</v>
      </c>
      <c r="G20" s="1039">
        <v>9899559965</v>
      </c>
      <c r="H20" s="1050" t="s">
        <v>888</v>
      </c>
      <c r="I20" s="46"/>
    </row>
    <row r="21" spans="1:10" ht="31" customHeight="1">
      <c r="A21" s="43">
        <v>18</v>
      </c>
      <c r="B21" s="207" t="s">
        <v>884</v>
      </c>
      <c r="C21" s="185" t="s">
        <v>889</v>
      </c>
      <c r="D21" s="208" t="s">
        <v>890</v>
      </c>
      <c r="E21" s="209">
        <v>75144</v>
      </c>
      <c r="F21" s="215" t="s">
        <v>13</v>
      </c>
      <c r="G21" s="1039"/>
      <c r="H21" s="1051"/>
      <c r="I21" s="46"/>
    </row>
    <row r="22" spans="1:10" ht="31" customHeight="1">
      <c r="A22" s="43">
        <v>19</v>
      </c>
      <c r="B22" s="207" t="s">
        <v>891</v>
      </c>
      <c r="C22" s="185" t="s">
        <v>3440</v>
      </c>
      <c r="D22" s="208" t="s">
        <v>3441</v>
      </c>
      <c r="E22" s="209">
        <v>17397</v>
      </c>
      <c r="F22" s="215" t="s">
        <v>223</v>
      </c>
      <c r="G22" s="211">
        <v>9810158201</v>
      </c>
      <c r="H22" s="207" t="s">
        <v>892</v>
      </c>
      <c r="I22" s="45"/>
    </row>
    <row r="23" spans="1:10" ht="31" customHeight="1">
      <c r="A23" s="43">
        <v>20</v>
      </c>
      <c r="B23" s="207" t="s">
        <v>893</v>
      </c>
      <c r="C23" s="185" t="s">
        <v>894</v>
      </c>
      <c r="D23" s="208" t="s">
        <v>895</v>
      </c>
      <c r="E23" s="209">
        <v>18508</v>
      </c>
      <c r="F23" s="215" t="s">
        <v>887</v>
      </c>
      <c r="G23" s="211">
        <v>9310761392</v>
      </c>
      <c r="H23" s="207"/>
      <c r="I23" s="45"/>
    </row>
    <row r="24" spans="1:10" s="3" customFormat="1" ht="31" customHeight="1">
      <c r="A24" s="43">
        <v>21</v>
      </c>
      <c r="B24" s="207" t="s">
        <v>896</v>
      </c>
      <c r="C24" s="185" t="s">
        <v>897</v>
      </c>
      <c r="D24" s="208" t="s">
        <v>898</v>
      </c>
      <c r="E24" s="209">
        <v>21049</v>
      </c>
      <c r="F24" s="215" t="s">
        <v>887</v>
      </c>
      <c r="G24" s="1039">
        <v>9899559965</v>
      </c>
      <c r="H24" s="185"/>
      <c r="I24" s="232"/>
      <c r="J24" s="851"/>
    </row>
    <row r="25" spans="1:10" s="3" customFormat="1" ht="31" customHeight="1">
      <c r="A25" s="43">
        <v>22</v>
      </c>
      <c r="B25" s="207" t="s">
        <v>896</v>
      </c>
      <c r="C25" s="185" t="s">
        <v>899</v>
      </c>
      <c r="D25" s="208" t="s">
        <v>898</v>
      </c>
      <c r="E25" s="209">
        <v>170863</v>
      </c>
      <c r="F25" s="215" t="s">
        <v>13</v>
      </c>
      <c r="G25" s="1039"/>
      <c r="H25" s="185"/>
      <c r="I25" s="46"/>
      <c r="J25" s="851"/>
    </row>
    <row r="26" spans="1:10" ht="31" customHeight="1">
      <c r="A26" s="43">
        <v>23</v>
      </c>
      <c r="B26" s="207" t="s">
        <v>900</v>
      </c>
      <c r="C26" s="185" t="s">
        <v>901</v>
      </c>
      <c r="D26" s="208" t="s">
        <v>38</v>
      </c>
      <c r="E26" s="209">
        <v>112709</v>
      </c>
      <c r="F26" s="210" t="s">
        <v>13</v>
      </c>
      <c r="G26" s="476">
        <v>9350580095</v>
      </c>
      <c r="H26" s="185"/>
      <c r="I26" s="232"/>
    </row>
    <row r="27" spans="1:10" ht="31" customHeight="1">
      <c r="A27" s="43">
        <v>24</v>
      </c>
      <c r="B27" s="207" t="s">
        <v>902</v>
      </c>
      <c r="C27" s="185" t="s">
        <v>3460</v>
      </c>
      <c r="D27" s="208" t="s">
        <v>3461</v>
      </c>
      <c r="E27" s="209">
        <v>48669</v>
      </c>
      <c r="F27" s="210" t="s">
        <v>13</v>
      </c>
      <c r="G27" s="476">
        <v>9350101968</v>
      </c>
      <c r="H27" s="185" t="s">
        <v>903</v>
      </c>
      <c r="I27" s="232"/>
    </row>
    <row r="28" spans="1:10" ht="31" customHeight="1">
      <c r="A28" s="43">
        <v>25</v>
      </c>
      <c r="B28" s="207" t="s">
        <v>3640</v>
      </c>
      <c r="C28" s="185" t="s">
        <v>3467</v>
      </c>
      <c r="D28" s="208" t="s">
        <v>3461</v>
      </c>
      <c r="E28" s="209">
        <v>15424</v>
      </c>
      <c r="F28" s="210" t="s">
        <v>13</v>
      </c>
      <c r="G28" s="476"/>
      <c r="H28" s="185"/>
      <c r="I28" s="232"/>
    </row>
    <row r="29" spans="1:10" ht="31" customHeight="1" thickBot="1">
      <c r="A29" s="457">
        <v>26</v>
      </c>
      <c r="B29" s="216" t="s">
        <v>3639</v>
      </c>
      <c r="C29" s="183" t="s">
        <v>904</v>
      </c>
      <c r="D29" s="217" t="s">
        <v>905</v>
      </c>
      <c r="E29" s="218">
        <v>18671</v>
      </c>
      <c r="F29" s="244" t="s">
        <v>17</v>
      </c>
      <c r="G29" s="948">
        <v>9212464009</v>
      </c>
      <c r="H29" s="183" t="s">
        <v>906</v>
      </c>
      <c r="I29" s="233"/>
    </row>
    <row r="30" spans="1:10" ht="31" customHeight="1" thickBot="1">
      <c r="A30" s="8"/>
      <c r="B30" s="44"/>
      <c r="C30" s="236"/>
      <c r="D30" s="237"/>
      <c r="E30" s="238"/>
      <c r="F30" s="8"/>
      <c r="G30" s="939"/>
      <c r="H30" s="236"/>
      <c r="I30" s="236"/>
    </row>
    <row r="31" spans="1:10" ht="25" customHeight="1" thickBot="1">
      <c r="A31" s="996"/>
      <c r="B31" s="950"/>
      <c r="C31" s="950"/>
      <c r="D31" s="952" t="s">
        <v>852</v>
      </c>
      <c r="E31" s="950"/>
      <c r="F31" s="950"/>
      <c r="G31" s="950"/>
      <c r="H31" s="950"/>
      <c r="I31" s="951"/>
      <c r="J31" s="851">
        <v>2</v>
      </c>
    </row>
    <row r="32" spans="1:10" ht="24" customHeight="1" thickBot="1">
      <c r="A32" s="446"/>
      <c r="B32" s="219"/>
      <c r="C32" s="219"/>
      <c r="D32" s="219" t="s">
        <v>40</v>
      </c>
      <c r="E32" s="219"/>
      <c r="F32" s="219"/>
      <c r="G32" s="219"/>
      <c r="H32" s="219"/>
      <c r="I32" s="234"/>
    </row>
    <row r="33" spans="1:10" ht="25" customHeight="1" thickBot="1">
      <c r="A33" s="444" t="s">
        <v>2</v>
      </c>
      <c r="B33" s="205" t="s">
        <v>3</v>
      </c>
      <c r="C33" s="205" t="s">
        <v>4</v>
      </c>
      <c r="D33" s="206" t="s">
        <v>5</v>
      </c>
      <c r="E33" s="205" t="s">
        <v>6</v>
      </c>
      <c r="F33" s="205" t="s">
        <v>7</v>
      </c>
      <c r="G33" s="205" t="s">
        <v>8</v>
      </c>
      <c r="H33" s="205" t="s">
        <v>9</v>
      </c>
      <c r="I33" s="231" t="s">
        <v>10</v>
      </c>
    </row>
    <row r="34" spans="1:10" ht="40" customHeight="1">
      <c r="A34" s="43">
        <v>1</v>
      </c>
      <c r="B34" s="207" t="s">
        <v>911</v>
      </c>
      <c r="C34" s="185" t="s">
        <v>3519</v>
      </c>
      <c r="D34" s="208" t="s">
        <v>3518</v>
      </c>
      <c r="E34" s="209">
        <v>29381</v>
      </c>
      <c r="F34" s="210" t="s">
        <v>344</v>
      </c>
      <c r="G34" s="215">
        <v>9810089469</v>
      </c>
      <c r="H34" s="185"/>
      <c r="I34" s="232"/>
      <c r="J34" s="945"/>
    </row>
    <row r="35" spans="1:10" ht="40" customHeight="1">
      <c r="A35" s="41">
        <v>2</v>
      </c>
      <c r="B35" s="207" t="s">
        <v>912</v>
      </c>
      <c r="C35" s="185" t="s">
        <v>913</v>
      </c>
      <c r="D35" s="208" t="s">
        <v>914</v>
      </c>
      <c r="E35" s="209">
        <v>10844</v>
      </c>
      <c r="F35" s="210" t="s">
        <v>865</v>
      </c>
      <c r="G35" s="215">
        <v>9910044428</v>
      </c>
      <c r="H35" s="185"/>
      <c r="I35" s="232"/>
    </row>
    <row r="36" spans="1:10" ht="40" customHeight="1">
      <c r="A36" s="41">
        <v>3</v>
      </c>
      <c r="B36" s="207" t="s">
        <v>915</v>
      </c>
      <c r="C36" s="185" t="s">
        <v>3516</v>
      </c>
      <c r="D36" s="208" t="s">
        <v>3517</v>
      </c>
      <c r="E36" s="209">
        <v>39296</v>
      </c>
      <c r="F36" s="210" t="s">
        <v>13</v>
      </c>
      <c r="G36" s="215" t="s">
        <v>3495</v>
      </c>
      <c r="H36" s="185" t="s">
        <v>873</v>
      </c>
      <c r="I36" s="232"/>
    </row>
    <row r="37" spans="1:10" s="2" customFormat="1" ht="40" customHeight="1">
      <c r="A37" s="41">
        <v>4</v>
      </c>
      <c r="B37" s="207" t="s">
        <v>3650</v>
      </c>
      <c r="C37" s="227" t="s">
        <v>3547</v>
      </c>
      <c r="D37" s="228" t="s">
        <v>3649</v>
      </c>
      <c r="E37" s="214">
        <v>249932</v>
      </c>
      <c r="F37" s="229" t="s">
        <v>3548</v>
      </c>
      <c r="G37" s="210">
        <v>9810002411</v>
      </c>
      <c r="H37" s="838"/>
      <c r="I37" s="839"/>
      <c r="J37" s="851"/>
    </row>
    <row r="38" spans="1:10" ht="40" customHeight="1">
      <c r="A38" s="41">
        <v>5</v>
      </c>
      <c r="B38" s="207" t="s">
        <v>916</v>
      </c>
      <c r="C38" s="185" t="s">
        <v>3541</v>
      </c>
      <c r="D38" s="208" t="s">
        <v>3542</v>
      </c>
      <c r="E38" s="209">
        <v>34059</v>
      </c>
      <c r="F38" s="210" t="s">
        <v>99</v>
      </c>
      <c r="G38" s="215">
        <v>8860006318</v>
      </c>
      <c r="H38" s="185"/>
      <c r="I38" s="232"/>
    </row>
    <row r="39" spans="1:10" ht="40" customHeight="1">
      <c r="A39" s="41">
        <v>6</v>
      </c>
      <c r="B39" s="207" t="s">
        <v>917</v>
      </c>
      <c r="C39" s="185" t="s">
        <v>918</v>
      </c>
      <c r="D39" s="208" t="s">
        <v>919</v>
      </c>
      <c r="E39" s="209">
        <v>116667</v>
      </c>
      <c r="F39" s="210" t="s">
        <v>13</v>
      </c>
      <c r="G39" s="215">
        <v>9810356666</v>
      </c>
      <c r="H39" s="182"/>
      <c r="I39" s="235"/>
    </row>
    <row r="40" spans="1:10" ht="40" customHeight="1">
      <c r="A40" s="41">
        <v>7</v>
      </c>
      <c r="B40" s="207" t="s">
        <v>306</v>
      </c>
      <c r="C40" s="185" t="s">
        <v>3546</v>
      </c>
      <c r="D40" s="208" t="s">
        <v>3506</v>
      </c>
      <c r="E40" s="209">
        <v>57125</v>
      </c>
      <c r="F40" s="210" t="s">
        <v>13</v>
      </c>
      <c r="G40" s="215">
        <v>9891460961</v>
      </c>
      <c r="H40" s="182"/>
      <c r="I40" s="235"/>
    </row>
    <row r="41" spans="1:10" ht="40" customHeight="1">
      <c r="A41" s="41">
        <v>8</v>
      </c>
      <c r="B41" s="207" t="s">
        <v>920</v>
      </c>
      <c r="C41" s="185" t="s">
        <v>3559</v>
      </c>
      <c r="D41" s="208" t="s">
        <v>3560</v>
      </c>
      <c r="E41" s="209">
        <v>19705</v>
      </c>
      <c r="F41" s="210" t="s">
        <v>13</v>
      </c>
      <c r="G41" s="215">
        <v>9654467076</v>
      </c>
      <c r="H41" s="182"/>
      <c r="I41" s="235"/>
    </row>
    <row r="42" spans="1:10" ht="40" customHeight="1">
      <c r="A42" s="41">
        <v>9</v>
      </c>
      <c r="B42" s="207" t="s">
        <v>922</v>
      </c>
      <c r="C42" s="185" t="s">
        <v>3587</v>
      </c>
      <c r="D42" s="208" t="s">
        <v>3586</v>
      </c>
      <c r="E42" s="209">
        <v>12175</v>
      </c>
      <c r="F42" s="210" t="s">
        <v>13</v>
      </c>
      <c r="G42" s="215">
        <v>1574</v>
      </c>
      <c r="H42" s="182" t="s">
        <v>903</v>
      </c>
      <c r="I42" s="235"/>
    </row>
    <row r="43" spans="1:10" ht="40" customHeight="1">
      <c r="A43" s="41">
        <v>10</v>
      </c>
      <c r="B43" s="207" t="s">
        <v>3582</v>
      </c>
      <c r="C43" s="185" t="s">
        <v>3584</v>
      </c>
      <c r="D43" s="222" t="s">
        <v>3583</v>
      </c>
      <c r="E43" s="209">
        <v>36607</v>
      </c>
      <c r="F43" s="210" t="s">
        <v>13</v>
      </c>
      <c r="G43" s="215">
        <v>8800228876</v>
      </c>
      <c r="H43" s="182" t="s">
        <v>428</v>
      </c>
      <c r="I43" s="235"/>
      <c r="J43" s="945"/>
    </row>
    <row r="44" spans="1:10" ht="40" customHeight="1">
      <c r="A44" s="41">
        <v>11</v>
      </c>
      <c r="B44" s="207" t="s">
        <v>910</v>
      </c>
      <c r="C44" s="185" t="s">
        <v>3694</v>
      </c>
      <c r="D44" s="222" t="s">
        <v>3638</v>
      </c>
      <c r="E44" s="209">
        <v>1763</v>
      </c>
      <c r="F44" s="210" t="s">
        <v>13</v>
      </c>
      <c r="G44" s="215">
        <v>9313914481</v>
      </c>
      <c r="H44" s="182"/>
      <c r="I44" s="235"/>
      <c r="J44" s="945"/>
    </row>
    <row r="45" spans="1:10" ht="40" customHeight="1">
      <c r="A45" s="41">
        <v>12</v>
      </c>
      <c r="B45" s="207" t="s">
        <v>907</v>
      </c>
      <c r="C45" s="185" t="s">
        <v>908</v>
      </c>
      <c r="D45" s="222" t="s">
        <v>3638</v>
      </c>
      <c r="E45" s="209">
        <v>1763</v>
      </c>
      <c r="F45" s="210" t="s">
        <v>13</v>
      </c>
      <c r="G45" s="215">
        <v>9313537005</v>
      </c>
      <c r="H45" s="182"/>
      <c r="I45" s="235"/>
      <c r="J45" s="945"/>
    </row>
    <row r="46" spans="1:10" ht="40" customHeight="1">
      <c r="A46" s="41">
        <v>13</v>
      </c>
      <c r="B46" s="207" t="s">
        <v>909</v>
      </c>
      <c r="C46" s="185" t="s">
        <v>3641</v>
      </c>
      <c r="D46" s="222" t="s">
        <v>3638</v>
      </c>
      <c r="E46" s="209">
        <v>1763</v>
      </c>
      <c r="F46" s="210" t="s">
        <v>13</v>
      </c>
      <c r="G46" s="215">
        <v>9871144877</v>
      </c>
      <c r="H46" s="182"/>
      <c r="I46" s="235"/>
      <c r="J46" s="945"/>
    </row>
    <row r="47" spans="1:10" ht="40" customHeight="1">
      <c r="A47" s="41">
        <v>14</v>
      </c>
      <c r="B47" s="207" t="s">
        <v>883</v>
      </c>
      <c r="C47" s="185" t="s">
        <v>3637</v>
      </c>
      <c r="D47" s="222" t="s">
        <v>3636</v>
      </c>
      <c r="E47" s="209">
        <v>34415</v>
      </c>
      <c r="F47" s="210" t="s">
        <v>13</v>
      </c>
      <c r="G47" s="215" t="s">
        <v>3494</v>
      </c>
      <c r="H47" s="182"/>
      <c r="I47" s="235"/>
      <c r="J47" s="945"/>
    </row>
    <row r="48" spans="1:10" ht="40" customHeight="1">
      <c r="A48" s="41">
        <v>15</v>
      </c>
      <c r="B48" s="207" t="s">
        <v>923</v>
      </c>
      <c r="C48" s="186" t="s">
        <v>924</v>
      </c>
      <c r="D48" s="222" t="s">
        <v>925</v>
      </c>
      <c r="E48" s="209">
        <v>24477</v>
      </c>
      <c r="F48" s="223" t="s">
        <v>926</v>
      </c>
      <c r="G48" s="215">
        <v>9313787778</v>
      </c>
      <c r="H48" s="182"/>
      <c r="I48" s="232"/>
    </row>
    <row r="49" spans="1:10" ht="40" customHeight="1" thickBot="1">
      <c r="A49" s="447">
        <v>16</v>
      </c>
      <c r="B49" s="216" t="s">
        <v>927</v>
      </c>
      <c r="C49" s="183" t="s">
        <v>3695</v>
      </c>
      <c r="D49" s="217" t="s">
        <v>3561</v>
      </c>
      <c r="E49" s="218">
        <v>14652</v>
      </c>
      <c r="F49" s="244" t="s">
        <v>99</v>
      </c>
      <c r="G49" s="245">
        <v>7827946355</v>
      </c>
      <c r="H49" s="183"/>
      <c r="I49" s="233"/>
      <c r="J49" s="945"/>
    </row>
    <row r="50" spans="1:10" ht="40" customHeight="1">
      <c r="A50" s="8"/>
      <c r="B50" s="44"/>
      <c r="C50" s="236"/>
      <c r="D50" s="237"/>
      <c r="E50" s="238"/>
      <c r="F50" s="8"/>
      <c r="G50" s="251"/>
      <c r="H50" s="236"/>
      <c r="I50" s="236"/>
      <c r="J50" s="945"/>
    </row>
    <row r="51" spans="1:10" ht="40" customHeight="1">
      <c r="A51" s="8"/>
      <c r="B51" s="44"/>
      <c r="C51" s="236"/>
      <c r="D51" s="237"/>
      <c r="E51" s="238"/>
      <c r="F51" s="8"/>
      <c r="G51" s="251"/>
      <c r="H51" s="236"/>
      <c r="I51" s="236"/>
      <c r="J51" s="945"/>
    </row>
    <row r="52" spans="1:10" ht="40" customHeight="1" thickBot="1">
      <c r="A52" s="8"/>
      <c r="B52" s="44"/>
      <c r="C52" s="236"/>
      <c r="D52" s="237"/>
      <c r="E52" s="238"/>
      <c r="F52" s="8"/>
      <c r="G52" s="251"/>
      <c r="H52" s="236"/>
      <c r="I52" s="236"/>
      <c r="J52" s="945"/>
    </row>
    <row r="53" spans="1:10" ht="25" customHeight="1" thickBot="1">
      <c r="A53" s="996"/>
      <c r="B53" s="950"/>
      <c r="C53" s="950"/>
      <c r="D53" s="952" t="s">
        <v>852</v>
      </c>
      <c r="E53" s="950"/>
      <c r="F53" s="950"/>
      <c r="G53" s="950"/>
      <c r="H53" s="950"/>
      <c r="I53" s="951"/>
      <c r="J53" s="851">
        <v>3</v>
      </c>
    </row>
    <row r="54" spans="1:10" ht="24" customHeight="1" thickBot="1">
      <c r="A54" s="446"/>
      <c r="B54" s="219"/>
      <c r="C54" s="219"/>
      <c r="D54" s="949" t="s">
        <v>59</v>
      </c>
      <c r="E54" s="219"/>
      <c r="F54" s="219"/>
      <c r="G54" s="219"/>
      <c r="H54" s="219"/>
      <c r="I54" s="234"/>
    </row>
    <row r="55" spans="1:10" ht="25" customHeight="1" thickBot="1">
      <c r="A55" s="444" t="s">
        <v>2</v>
      </c>
      <c r="B55" s="205" t="s">
        <v>3</v>
      </c>
      <c r="C55" s="205" t="s">
        <v>4</v>
      </c>
      <c r="D55" s="206" t="s">
        <v>5</v>
      </c>
      <c r="E55" s="205" t="s">
        <v>6</v>
      </c>
      <c r="F55" s="205" t="s">
        <v>7</v>
      </c>
      <c r="G55" s="205" t="s">
        <v>8</v>
      </c>
      <c r="H55" s="205" t="s">
        <v>9</v>
      </c>
      <c r="I55" s="231" t="s">
        <v>10</v>
      </c>
    </row>
    <row r="56" spans="1:10" ht="29.5" customHeight="1">
      <c r="A56" s="445">
        <v>1</v>
      </c>
      <c r="B56" s="459" t="s">
        <v>3536</v>
      </c>
      <c r="C56" s="184" t="s">
        <v>3539</v>
      </c>
      <c r="D56" s="224" t="s">
        <v>3540</v>
      </c>
      <c r="E56" s="225">
        <v>52172</v>
      </c>
      <c r="F56" s="226" t="s">
        <v>427</v>
      </c>
      <c r="G56" s="1040">
        <v>9810328939</v>
      </c>
      <c r="H56" s="1052" t="s">
        <v>2772</v>
      </c>
      <c r="I56" s="1056"/>
    </row>
    <row r="57" spans="1:10" ht="29.5" customHeight="1">
      <c r="A57" s="41">
        <v>2</v>
      </c>
      <c r="B57" s="207" t="s">
        <v>3537</v>
      </c>
      <c r="C57" s="182" t="s">
        <v>928</v>
      </c>
      <c r="D57" s="220" t="s">
        <v>929</v>
      </c>
      <c r="E57" s="221">
        <v>27247</v>
      </c>
      <c r="F57" s="211" t="s">
        <v>865</v>
      </c>
      <c r="G57" s="1041"/>
      <c r="H57" s="1053"/>
      <c r="I57" s="1057"/>
    </row>
    <row r="58" spans="1:10" ht="29.5" customHeight="1">
      <c r="A58" s="43">
        <v>3</v>
      </c>
      <c r="B58" s="207" t="s">
        <v>3538</v>
      </c>
      <c r="C58" s="185" t="s">
        <v>930</v>
      </c>
      <c r="D58" s="208" t="s">
        <v>931</v>
      </c>
      <c r="E58" s="209">
        <v>185031</v>
      </c>
      <c r="F58" s="215" t="s">
        <v>344</v>
      </c>
      <c r="G58" s="1036"/>
      <c r="H58" s="1054"/>
      <c r="I58" s="1058"/>
    </row>
    <row r="59" spans="1:10" s="3" customFormat="1" ht="29.5" customHeight="1">
      <c r="A59" s="41">
        <v>4</v>
      </c>
      <c r="B59" s="207" t="s">
        <v>932</v>
      </c>
      <c r="C59" s="185" t="s">
        <v>3647</v>
      </c>
      <c r="D59" s="208" t="s">
        <v>3648</v>
      </c>
      <c r="E59" s="209">
        <v>10203</v>
      </c>
      <c r="F59" s="215" t="s">
        <v>865</v>
      </c>
      <c r="G59" s="879">
        <v>154</v>
      </c>
      <c r="H59" s="475"/>
      <c r="I59" s="474"/>
      <c r="J59" s="851"/>
    </row>
    <row r="60" spans="1:10" s="3" customFormat="1" ht="29.5" customHeight="1">
      <c r="A60" s="43">
        <v>5</v>
      </c>
      <c r="B60" s="207" t="s">
        <v>3740</v>
      </c>
      <c r="C60" s="185" t="s">
        <v>3742</v>
      </c>
      <c r="D60" s="208" t="s">
        <v>3739</v>
      </c>
      <c r="E60" s="209">
        <v>9926</v>
      </c>
      <c r="F60" s="215" t="s">
        <v>3741</v>
      </c>
      <c r="G60" s="210">
        <v>9910103477</v>
      </c>
      <c r="H60" s="938"/>
      <c r="I60" s="936"/>
      <c r="J60" s="851"/>
    </row>
    <row r="61" spans="1:10" s="2" customFormat="1" ht="29.5" customHeight="1">
      <c r="A61" s="41">
        <v>6</v>
      </c>
      <c r="B61" s="207" t="s">
        <v>933</v>
      </c>
      <c r="C61" s="227" t="s">
        <v>3645</v>
      </c>
      <c r="D61" s="228" t="s">
        <v>3646</v>
      </c>
      <c r="E61" s="214">
        <v>35629</v>
      </c>
      <c r="F61" s="229" t="s">
        <v>13</v>
      </c>
      <c r="G61" s="210" t="s">
        <v>934</v>
      </c>
      <c r="H61" s="838"/>
      <c r="I61" s="839"/>
      <c r="J61" s="851"/>
    </row>
    <row r="62" spans="1:10" s="2" customFormat="1" ht="29.5" customHeight="1">
      <c r="A62" s="43">
        <v>7</v>
      </c>
      <c r="B62" s="207" t="s">
        <v>3693</v>
      </c>
      <c r="C62" s="227" t="s">
        <v>3692</v>
      </c>
      <c r="D62" s="228" t="s">
        <v>949</v>
      </c>
      <c r="E62" s="214">
        <v>3287</v>
      </c>
      <c r="F62" s="229" t="s">
        <v>865</v>
      </c>
      <c r="G62" s="210" t="s">
        <v>936</v>
      </c>
      <c r="H62" s="838">
        <v>9313141770</v>
      </c>
      <c r="I62" s="839"/>
      <c r="J62" s="851"/>
    </row>
    <row r="63" spans="1:10" s="2" customFormat="1" ht="29.5" customHeight="1">
      <c r="A63" s="41">
        <v>8</v>
      </c>
      <c r="B63" s="207" t="s">
        <v>937</v>
      </c>
      <c r="C63" s="227" t="s">
        <v>3642</v>
      </c>
      <c r="D63" s="228" t="s">
        <v>941</v>
      </c>
      <c r="E63" s="214">
        <v>24978</v>
      </c>
      <c r="F63" s="229" t="s">
        <v>13</v>
      </c>
      <c r="G63" s="210">
        <v>9871641571</v>
      </c>
      <c r="H63" s="838" t="s">
        <v>413</v>
      </c>
      <c r="I63" s="839"/>
      <c r="J63" s="851"/>
    </row>
    <row r="64" spans="1:10" ht="29.5" customHeight="1">
      <c r="A64" s="43">
        <v>9</v>
      </c>
      <c r="B64" s="207" t="s">
        <v>939</v>
      </c>
      <c r="C64" s="185" t="s">
        <v>940</v>
      </c>
      <c r="D64" s="208" t="s">
        <v>941</v>
      </c>
      <c r="E64" s="209">
        <v>68308</v>
      </c>
      <c r="F64" s="210" t="s">
        <v>13</v>
      </c>
      <c r="G64" s="210">
        <v>9213164940</v>
      </c>
      <c r="H64" s="185" t="s">
        <v>942</v>
      </c>
      <c r="I64" s="232"/>
    </row>
    <row r="65" spans="1:10" ht="29.5" customHeight="1">
      <c r="A65" s="41">
        <v>10</v>
      </c>
      <c r="B65" s="207" t="s">
        <v>943</v>
      </c>
      <c r="C65" s="185" t="s">
        <v>3717</v>
      </c>
      <c r="D65" s="208" t="s">
        <v>3729</v>
      </c>
      <c r="E65" s="209">
        <v>33657</v>
      </c>
      <c r="F65" s="210" t="s">
        <v>99</v>
      </c>
      <c r="G65" s="210">
        <v>9971555058</v>
      </c>
      <c r="H65" s="185"/>
      <c r="I65" s="232"/>
    </row>
    <row r="66" spans="1:10" ht="29.5" customHeight="1">
      <c r="A66" s="43">
        <v>11</v>
      </c>
      <c r="B66" s="207" t="s">
        <v>3728</v>
      </c>
      <c r="C66" s="185" t="s">
        <v>3731</v>
      </c>
      <c r="D66" s="208" t="s">
        <v>3729</v>
      </c>
      <c r="E66" s="209">
        <v>17602</v>
      </c>
      <c r="F66" s="210" t="s">
        <v>13</v>
      </c>
      <c r="G66" s="210">
        <v>407</v>
      </c>
      <c r="H66" s="185" t="s">
        <v>3730</v>
      </c>
      <c r="I66" s="232"/>
    </row>
    <row r="67" spans="1:10" s="3" customFormat="1" ht="29.5" customHeight="1">
      <c r="A67" s="41">
        <v>12</v>
      </c>
      <c r="B67" s="207" t="s">
        <v>947</v>
      </c>
      <c r="C67" s="185" t="s">
        <v>3715</v>
      </c>
      <c r="D67" s="208" t="s">
        <v>949</v>
      </c>
      <c r="E67" s="209">
        <v>45150</v>
      </c>
      <c r="F67" s="210" t="s">
        <v>13</v>
      </c>
      <c r="G67" s="1035">
        <v>9711755490</v>
      </c>
      <c r="H67" s="1050" t="s">
        <v>164</v>
      </c>
      <c r="I67" s="1059"/>
      <c r="J67" s="946"/>
    </row>
    <row r="68" spans="1:10" s="3" customFormat="1" ht="29.5" customHeight="1">
      <c r="A68" s="43">
        <v>13</v>
      </c>
      <c r="B68" s="207" t="s">
        <v>3716</v>
      </c>
      <c r="C68" s="185" t="s">
        <v>3707</v>
      </c>
      <c r="D68" s="208" t="s">
        <v>949</v>
      </c>
      <c r="E68" s="209">
        <v>5223</v>
      </c>
      <c r="F68" s="210" t="s">
        <v>3708</v>
      </c>
      <c r="G68" s="1036"/>
      <c r="H68" s="1051"/>
      <c r="I68" s="1060"/>
      <c r="J68" s="946"/>
    </row>
    <row r="69" spans="1:10" ht="29.5" customHeight="1">
      <c r="A69" s="41">
        <v>14</v>
      </c>
      <c r="B69" s="207" t="s">
        <v>2087</v>
      </c>
      <c r="C69" s="185" t="s">
        <v>948</v>
      </c>
      <c r="D69" s="208" t="s">
        <v>949</v>
      </c>
      <c r="E69" s="209">
        <v>37224</v>
      </c>
      <c r="F69" s="210" t="s">
        <v>926</v>
      </c>
      <c r="G69" s="1035">
        <v>9837636620</v>
      </c>
      <c r="H69" s="1037"/>
      <c r="I69" s="1061"/>
    </row>
    <row r="70" spans="1:10" ht="29.5" customHeight="1">
      <c r="A70" s="43">
        <v>15</v>
      </c>
      <c r="B70" s="207" t="s">
        <v>950</v>
      </c>
      <c r="C70" s="185" t="s">
        <v>951</v>
      </c>
      <c r="D70" s="208" t="s">
        <v>949</v>
      </c>
      <c r="E70" s="209">
        <v>6359</v>
      </c>
      <c r="F70" s="210" t="s">
        <v>926</v>
      </c>
      <c r="G70" s="1036"/>
      <c r="H70" s="1038"/>
      <c r="I70" s="1062"/>
    </row>
    <row r="71" spans="1:10" ht="29.5" customHeight="1">
      <c r="A71" s="41">
        <v>16</v>
      </c>
      <c r="B71" s="207" t="s">
        <v>952</v>
      </c>
      <c r="C71" s="185" t="s">
        <v>3644</v>
      </c>
      <c r="D71" s="208" t="s">
        <v>3643</v>
      </c>
      <c r="E71" s="209">
        <v>89424</v>
      </c>
      <c r="F71" s="210" t="s">
        <v>69</v>
      </c>
      <c r="G71" s="210">
        <v>9811208868</v>
      </c>
      <c r="H71" s="185" t="s">
        <v>2773</v>
      </c>
      <c r="I71" s="869"/>
    </row>
    <row r="72" spans="1:10" ht="29.5" customHeight="1">
      <c r="A72" s="43">
        <v>17</v>
      </c>
      <c r="B72" s="207" t="s">
        <v>3738</v>
      </c>
      <c r="C72" s="185" t="s">
        <v>3733</v>
      </c>
      <c r="D72" s="208" t="s">
        <v>3732</v>
      </c>
      <c r="E72" s="209">
        <v>137869</v>
      </c>
      <c r="F72" s="210" t="s">
        <v>13</v>
      </c>
      <c r="G72" s="937">
        <v>7760</v>
      </c>
      <c r="H72" s="185"/>
      <c r="I72" s="869"/>
    </row>
    <row r="73" spans="1:10" ht="29.5" customHeight="1">
      <c r="A73" s="41">
        <v>18</v>
      </c>
      <c r="B73" s="207" t="s">
        <v>3734</v>
      </c>
      <c r="C73" s="185" t="s">
        <v>3736</v>
      </c>
      <c r="D73" s="208" t="s">
        <v>3735</v>
      </c>
      <c r="E73" s="209">
        <v>16902</v>
      </c>
      <c r="F73" s="210" t="s">
        <v>3708</v>
      </c>
      <c r="G73" s="215">
        <v>9811848678</v>
      </c>
      <c r="H73" s="185"/>
      <c r="I73" s="869"/>
    </row>
    <row r="74" spans="1:10" ht="29.5" customHeight="1">
      <c r="A74" s="43">
        <v>19</v>
      </c>
      <c r="B74" s="207" t="s">
        <v>958</v>
      </c>
      <c r="C74" s="185" t="s">
        <v>959</v>
      </c>
      <c r="D74" s="208" t="s">
        <v>960</v>
      </c>
      <c r="E74" s="209">
        <v>104906</v>
      </c>
      <c r="F74" s="210" t="s">
        <v>21</v>
      </c>
      <c r="G74" s="210">
        <v>9891048245</v>
      </c>
      <c r="H74" s="185"/>
      <c r="I74" s="232"/>
    </row>
    <row r="75" spans="1:10" s="3" customFormat="1" ht="29.5" customHeight="1">
      <c r="A75" s="41">
        <v>20</v>
      </c>
      <c r="B75" s="207" t="s">
        <v>2122</v>
      </c>
      <c r="C75" s="185" t="s">
        <v>961</v>
      </c>
      <c r="D75" s="208" t="s">
        <v>962</v>
      </c>
      <c r="E75" s="209">
        <v>120221</v>
      </c>
      <c r="F75" s="210" t="s">
        <v>13</v>
      </c>
      <c r="G75" s="1035">
        <v>9811027907</v>
      </c>
      <c r="H75" s="1050" t="s">
        <v>70</v>
      </c>
      <c r="I75" s="1059"/>
      <c r="J75" s="851"/>
    </row>
    <row r="76" spans="1:10" ht="29.5" customHeight="1">
      <c r="A76" s="43">
        <v>21</v>
      </c>
      <c r="B76" s="207" t="s">
        <v>2122</v>
      </c>
      <c r="C76" s="185" t="s">
        <v>963</v>
      </c>
      <c r="D76" s="208" t="s">
        <v>512</v>
      </c>
      <c r="E76" s="209">
        <v>11271</v>
      </c>
      <c r="F76" s="210" t="s">
        <v>865</v>
      </c>
      <c r="G76" s="1036"/>
      <c r="H76" s="1051"/>
      <c r="I76" s="1060"/>
    </row>
    <row r="77" spans="1:10" ht="29.5" customHeight="1">
      <c r="A77" s="41">
        <v>22</v>
      </c>
      <c r="B77" s="207" t="s">
        <v>3863</v>
      </c>
      <c r="C77" s="185" t="s">
        <v>3864</v>
      </c>
      <c r="D77" s="208" t="s">
        <v>3805</v>
      </c>
      <c r="E77" s="209">
        <v>59627</v>
      </c>
      <c r="F77" s="210" t="s">
        <v>13</v>
      </c>
      <c r="G77" s="210">
        <v>8010081604</v>
      </c>
      <c r="H77" s="1011"/>
      <c r="I77" s="487"/>
    </row>
    <row r="78" spans="1:10" s="3" customFormat="1" ht="29.5" customHeight="1">
      <c r="A78" s="43">
        <v>23</v>
      </c>
      <c r="B78" s="207" t="s">
        <v>3865</v>
      </c>
      <c r="C78" s="185" t="s">
        <v>3862</v>
      </c>
      <c r="D78" s="208" t="s">
        <v>3764</v>
      </c>
      <c r="E78" s="209">
        <v>16130</v>
      </c>
      <c r="F78" s="210" t="s">
        <v>13</v>
      </c>
      <c r="G78" s="210">
        <v>2707</v>
      </c>
      <c r="H78" s="185" t="s">
        <v>428</v>
      </c>
      <c r="I78" s="45"/>
      <c r="J78" s="851"/>
    </row>
    <row r="79" spans="1:10" s="3" customFormat="1" ht="29.5" customHeight="1">
      <c r="A79" s="41">
        <v>24</v>
      </c>
      <c r="B79" s="207" t="s">
        <v>184</v>
      </c>
      <c r="C79" s="185" t="s">
        <v>3747</v>
      </c>
      <c r="D79" s="208" t="s">
        <v>962</v>
      </c>
      <c r="E79" s="209">
        <v>56796</v>
      </c>
      <c r="F79" s="210" t="s">
        <v>13</v>
      </c>
      <c r="G79" s="210">
        <v>9810322762</v>
      </c>
      <c r="H79" s="185"/>
      <c r="I79" s="45"/>
      <c r="J79" s="851"/>
    </row>
    <row r="80" spans="1:10" s="3" customFormat="1" ht="29.5" customHeight="1">
      <c r="A80" s="43">
        <v>25</v>
      </c>
      <c r="B80" s="207" t="s">
        <v>964</v>
      </c>
      <c r="C80" s="185" t="s">
        <v>3787</v>
      </c>
      <c r="D80" s="208" t="s">
        <v>962</v>
      </c>
      <c r="E80" s="209">
        <v>38113</v>
      </c>
      <c r="F80" s="210" t="s">
        <v>13</v>
      </c>
      <c r="G80" s="210">
        <v>9512</v>
      </c>
      <c r="H80" s="185" t="s">
        <v>965</v>
      </c>
      <c r="I80" s="45"/>
      <c r="J80" s="851"/>
    </row>
    <row r="81" spans="1:10" s="395" customFormat="1" ht="29.5" customHeight="1">
      <c r="A81" s="41">
        <v>26</v>
      </c>
      <c r="B81" s="207" t="s">
        <v>966</v>
      </c>
      <c r="C81" s="185" t="s">
        <v>3737</v>
      </c>
      <c r="D81" s="391" t="s">
        <v>2091</v>
      </c>
      <c r="E81" s="392">
        <v>51813</v>
      </c>
      <c r="F81" s="393" t="s">
        <v>13</v>
      </c>
      <c r="G81" s="393">
        <v>9654765000</v>
      </c>
      <c r="H81" s="390"/>
      <c r="I81" s="394"/>
      <c r="J81" s="851"/>
    </row>
    <row r="82" spans="1:10" ht="29.5" customHeight="1" thickBot="1">
      <c r="A82" s="447">
        <v>27</v>
      </c>
      <c r="B82" s="216" t="s">
        <v>967</v>
      </c>
      <c r="C82" s="183" t="s">
        <v>968</v>
      </c>
      <c r="D82" s="217" t="s">
        <v>969</v>
      </c>
      <c r="E82" s="218">
        <v>5852</v>
      </c>
      <c r="F82" s="244" t="s">
        <v>865</v>
      </c>
      <c r="G82" s="244">
        <v>9818106673</v>
      </c>
      <c r="H82" s="183"/>
      <c r="I82" s="233"/>
    </row>
    <row r="83" spans="1:10" ht="25" customHeight="1" thickBot="1">
      <c r="A83" s="996"/>
      <c r="B83" s="950"/>
      <c r="C83" s="950"/>
      <c r="D83" s="952" t="s">
        <v>852</v>
      </c>
      <c r="E83" s="950"/>
      <c r="F83" s="950"/>
      <c r="G83" s="950"/>
      <c r="H83" s="950"/>
      <c r="I83" s="951"/>
      <c r="J83" s="851">
        <v>4</v>
      </c>
    </row>
    <row r="84" spans="1:10" ht="25" customHeight="1" thickBot="1">
      <c r="A84" s="446"/>
      <c r="B84" s="219"/>
      <c r="C84" s="219"/>
      <c r="D84" s="219" t="s">
        <v>93</v>
      </c>
      <c r="E84" s="219"/>
      <c r="F84" s="219"/>
      <c r="G84" s="219"/>
      <c r="H84" s="219"/>
      <c r="I84" s="234"/>
    </row>
    <row r="85" spans="1:10" ht="25" customHeight="1" thickBot="1">
      <c r="A85" s="444" t="s">
        <v>2</v>
      </c>
      <c r="B85" s="205" t="s">
        <v>3</v>
      </c>
      <c r="C85" s="205" t="s">
        <v>4</v>
      </c>
      <c r="D85" s="206" t="s">
        <v>5</v>
      </c>
      <c r="E85" s="205" t="s">
        <v>6</v>
      </c>
      <c r="F85" s="205" t="s">
        <v>7</v>
      </c>
      <c r="G85" s="205" t="s">
        <v>8</v>
      </c>
      <c r="H85" s="205" t="s">
        <v>9</v>
      </c>
      <c r="I85" s="231" t="s">
        <v>10</v>
      </c>
    </row>
    <row r="86" spans="1:10" ht="29.5" customHeight="1">
      <c r="A86" s="1021">
        <v>1</v>
      </c>
      <c r="B86" s="1022" t="s">
        <v>3867</v>
      </c>
      <c r="C86" s="1023" t="s">
        <v>3868</v>
      </c>
      <c r="D86" s="1024" t="s">
        <v>3869</v>
      </c>
      <c r="E86" s="1025">
        <v>16583</v>
      </c>
      <c r="F86" s="1026" t="s">
        <v>13</v>
      </c>
      <c r="G86" s="1026" t="s">
        <v>3870</v>
      </c>
      <c r="H86" s="1023"/>
      <c r="I86" s="1027"/>
    </row>
    <row r="87" spans="1:10" ht="27" customHeight="1">
      <c r="A87" s="41">
        <v>2</v>
      </c>
      <c r="B87" s="656" t="s">
        <v>2152</v>
      </c>
      <c r="C87" s="182" t="s">
        <v>2178</v>
      </c>
      <c r="D87" s="220" t="s">
        <v>2177</v>
      </c>
      <c r="E87" s="221">
        <v>9394</v>
      </c>
      <c r="F87" s="211" t="s">
        <v>3475</v>
      </c>
      <c r="G87" s="1036">
        <v>9560750830</v>
      </c>
      <c r="H87" s="182"/>
      <c r="I87" s="235"/>
      <c r="J87" s="945"/>
    </row>
    <row r="88" spans="1:10" ht="27" customHeight="1">
      <c r="A88" s="43">
        <v>3</v>
      </c>
      <c r="B88" s="207" t="s">
        <v>2152</v>
      </c>
      <c r="C88" s="185" t="s">
        <v>2286</v>
      </c>
      <c r="D88" s="208" t="s">
        <v>2153</v>
      </c>
      <c r="E88" s="209">
        <v>51813</v>
      </c>
      <c r="F88" s="210" t="s">
        <v>13</v>
      </c>
      <c r="G88" s="1039"/>
      <c r="H88" s="185"/>
      <c r="I88" s="232"/>
      <c r="J88" s="945"/>
    </row>
    <row r="89" spans="1:10" ht="27" customHeight="1">
      <c r="A89" s="41">
        <v>4</v>
      </c>
      <c r="B89" s="207" t="s">
        <v>2134</v>
      </c>
      <c r="C89" s="185" t="s">
        <v>3847</v>
      </c>
      <c r="D89" s="208" t="s">
        <v>3846</v>
      </c>
      <c r="E89" s="209">
        <v>31400</v>
      </c>
      <c r="F89" s="210" t="s">
        <v>13</v>
      </c>
      <c r="G89" s="1039">
        <v>9810729594</v>
      </c>
      <c r="H89" s="185"/>
      <c r="I89" s="232"/>
      <c r="J89" s="945"/>
    </row>
    <row r="90" spans="1:10" ht="27" customHeight="1">
      <c r="A90" s="43">
        <v>5</v>
      </c>
      <c r="B90" s="207" t="s">
        <v>2135</v>
      </c>
      <c r="C90" s="185" t="s">
        <v>3845</v>
      </c>
      <c r="D90" s="208" t="s">
        <v>3846</v>
      </c>
      <c r="E90" s="209">
        <v>5733</v>
      </c>
      <c r="F90" s="210" t="s">
        <v>3475</v>
      </c>
      <c r="G90" s="1039"/>
      <c r="H90" s="185"/>
      <c r="I90" s="232"/>
      <c r="J90" s="945"/>
    </row>
    <row r="91" spans="1:10" s="3" customFormat="1" ht="27" customHeight="1">
      <c r="A91" s="41">
        <v>6</v>
      </c>
      <c r="B91" s="590" t="s">
        <v>2191</v>
      </c>
      <c r="C91" s="42" t="s">
        <v>2192</v>
      </c>
      <c r="D91" s="738" t="s">
        <v>2193</v>
      </c>
      <c r="E91" s="721">
        <v>1372</v>
      </c>
      <c r="F91" s="589" t="s">
        <v>13</v>
      </c>
      <c r="G91" s="1045">
        <v>5666</v>
      </c>
      <c r="H91" s="42" t="s">
        <v>365</v>
      </c>
      <c r="I91" s="45"/>
      <c r="J91" s="851"/>
    </row>
    <row r="92" spans="1:10" s="3" customFormat="1" ht="27" customHeight="1">
      <c r="A92" s="43">
        <v>7</v>
      </c>
      <c r="B92" s="590" t="s">
        <v>2190</v>
      </c>
      <c r="C92" s="42" t="s">
        <v>2206</v>
      </c>
      <c r="D92" s="738" t="s">
        <v>576</v>
      </c>
      <c r="E92" s="721">
        <v>16767</v>
      </c>
      <c r="F92" s="589" t="s">
        <v>13</v>
      </c>
      <c r="G92" s="1046"/>
      <c r="H92" s="42" t="s">
        <v>365</v>
      </c>
      <c r="I92" s="45"/>
      <c r="J92" s="851"/>
    </row>
    <row r="93" spans="1:10" s="3" customFormat="1" ht="27" customHeight="1">
      <c r="A93" s="41">
        <v>8</v>
      </c>
      <c r="B93" s="590" t="s">
        <v>971</v>
      </c>
      <c r="C93" s="42" t="s">
        <v>2175</v>
      </c>
      <c r="D93" s="738" t="s">
        <v>2176</v>
      </c>
      <c r="E93" s="721">
        <v>4663</v>
      </c>
      <c r="F93" s="589" t="s">
        <v>865</v>
      </c>
      <c r="G93" s="972">
        <v>9868902279</v>
      </c>
      <c r="H93" s="973"/>
      <c r="I93" s="45"/>
      <c r="J93" s="851"/>
    </row>
    <row r="94" spans="1:10" s="3" customFormat="1" ht="27" customHeight="1">
      <c r="A94" s="43">
        <v>9</v>
      </c>
      <c r="B94" s="590" t="s">
        <v>972</v>
      </c>
      <c r="C94" s="42" t="s">
        <v>2204</v>
      </c>
      <c r="D94" s="738" t="s">
        <v>2205</v>
      </c>
      <c r="E94" s="721">
        <v>70577</v>
      </c>
      <c r="F94" s="589" t="s">
        <v>13</v>
      </c>
      <c r="G94" s="972">
        <v>9868902258</v>
      </c>
      <c r="H94" s="973"/>
      <c r="I94" s="45"/>
      <c r="J94" s="851"/>
    </row>
    <row r="95" spans="1:10" s="3" customFormat="1" ht="27" customHeight="1">
      <c r="A95" s="41">
        <v>10</v>
      </c>
      <c r="B95" s="590" t="s">
        <v>973</v>
      </c>
      <c r="C95" s="42" t="s">
        <v>2285</v>
      </c>
      <c r="D95" s="738" t="s">
        <v>2110</v>
      </c>
      <c r="E95" s="721">
        <v>63515</v>
      </c>
      <c r="F95" s="589" t="s">
        <v>99</v>
      </c>
      <c r="G95" s="589">
        <v>8750365889</v>
      </c>
      <c r="H95" s="42"/>
      <c r="I95" s="45"/>
      <c r="J95" s="851"/>
    </row>
    <row r="96" spans="1:10" s="3" customFormat="1" ht="27" customHeight="1" thickBot="1">
      <c r="A96" s="457">
        <v>11</v>
      </c>
      <c r="B96" s="974" t="s">
        <v>974</v>
      </c>
      <c r="C96" s="975" t="s">
        <v>2207</v>
      </c>
      <c r="D96" s="976" t="s">
        <v>2208</v>
      </c>
      <c r="E96" s="977">
        <v>42415</v>
      </c>
      <c r="F96" s="978" t="s">
        <v>13</v>
      </c>
      <c r="G96" s="978">
        <v>9311991079</v>
      </c>
      <c r="H96" s="975"/>
      <c r="I96" s="979"/>
      <c r="J96" s="851"/>
    </row>
    <row r="97" spans="1:10" ht="28" customHeight="1" thickBot="1">
      <c r="A97" s="446"/>
      <c r="B97" s="219"/>
      <c r="C97" s="219"/>
      <c r="D97" s="219" t="s">
        <v>103</v>
      </c>
      <c r="E97" s="219"/>
      <c r="F97" s="219"/>
      <c r="G97" s="219"/>
      <c r="H97" s="219"/>
      <c r="I97" s="234"/>
    </row>
    <row r="98" spans="1:10" ht="27" customHeight="1">
      <c r="A98" s="445">
        <v>1</v>
      </c>
      <c r="B98" s="459" t="s">
        <v>2249</v>
      </c>
      <c r="C98" s="184" t="s">
        <v>2215</v>
      </c>
      <c r="D98" s="224" t="s">
        <v>2214</v>
      </c>
      <c r="E98" s="225">
        <v>124022</v>
      </c>
      <c r="F98" s="226" t="s">
        <v>13</v>
      </c>
      <c r="G98" s="226">
        <v>9312567695</v>
      </c>
      <c r="H98" s="184" t="s">
        <v>2111</v>
      </c>
      <c r="I98" s="247"/>
      <c r="J98" s="945"/>
    </row>
    <row r="99" spans="1:10" ht="27" customHeight="1">
      <c r="A99" s="41">
        <v>2</v>
      </c>
      <c r="B99" s="207" t="s">
        <v>970</v>
      </c>
      <c r="C99" s="182" t="s">
        <v>2283</v>
      </c>
      <c r="D99" s="220" t="s">
        <v>2282</v>
      </c>
      <c r="E99" s="209">
        <v>26368</v>
      </c>
      <c r="F99" s="210" t="s">
        <v>13</v>
      </c>
      <c r="G99" s="210">
        <v>8847</v>
      </c>
      <c r="H99" s="239" t="s">
        <v>2773</v>
      </c>
      <c r="I99" s="235"/>
      <c r="J99" s="945"/>
    </row>
    <row r="100" spans="1:10" ht="27" customHeight="1">
      <c r="A100" s="41">
        <v>3</v>
      </c>
      <c r="B100" s="207" t="s">
        <v>976</v>
      </c>
      <c r="C100" s="185" t="s">
        <v>977</v>
      </c>
      <c r="D100" s="208" t="s">
        <v>978</v>
      </c>
      <c r="E100" s="209">
        <v>506848</v>
      </c>
      <c r="F100" s="210" t="s">
        <v>377</v>
      </c>
      <c r="G100" s="240">
        <v>9810502104</v>
      </c>
      <c r="H100" s="239"/>
      <c r="I100" s="248"/>
      <c r="J100" s="945"/>
    </row>
    <row r="101" spans="1:10" ht="27" customHeight="1">
      <c r="A101" s="41">
        <v>4</v>
      </c>
      <c r="B101" s="207" t="s">
        <v>2351</v>
      </c>
      <c r="C101" s="185" t="s">
        <v>2327</v>
      </c>
      <c r="D101" s="208" t="s">
        <v>2282</v>
      </c>
      <c r="E101" s="209">
        <v>2885</v>
      </c>
      <c r="F101" s="210" t="s">
        <v>21</v>
      </c>
      <c r="G101" s="1047">
        <v>9818184896</v>
      </c>
      <c r="H101" s="239"/>
      <c r="I101" s="248"/>
      <c r="J101" s="945"/>
    </row>
    <row r="102" spans="1:10" ht="27" customHeight="1">
      <c r="A102" s="41">
        <v>5</v>
      </c>
      <c r="B102" s="207" t="s">
        <v>2352</v>
      </c>
      <c r="C102" s="185" t="s">
        <v>2326</v>
      </c>
      <c r="D102" s="208" t="s">
        <v>2317</v>
      </c>
      <c r="E102" s="209">
        <v>40421</v>
      </c>
      <c r="F102" s="210" t="s">
        <v>13</v>
      </c>
      <c r="G102" s="1048"/>
      <c r="H102" s="239"/>
      <c r="I102" s="497"/>
      <c r="J102" s="945"/>
    </row>
    <row r="103" spans="1:10" ht="27" customHeight="1">
      <c r="A103" s="41">
        <v>6</v>
      </c>
      <c r="B103" s="207" t="s">
        <v>981</v>
      </c>
      <c r="C103" s="185" t="s">
        <v>2329</v>
      </c>
      <c r="D103" s="208" t="s">
        <v>2330</v>
      </c>
      <c r="E103" s="209">
        <v>35050</v>
      </c>
      <c r="F103" s="210" t="s">
        <v>13</v>
      </c>
      <c r="G103" s="210">
        <v>8561</v>
      </c>
      <c r="H103" s="185"/>
      <c r="I103" s="248"/>
      <c r="J103" s="945"/>
    </row>
    <row r="104" spans="1:10" ht="27" customHeight="1">
      <c r="A104" s="41">
        <v>7</v>
      </c>
      <c r="B104" s="207" t="s">
        <v>2353</v>
      </c>
      <c r="C104" s="185" t="s">
        <v>2355</v>
      </c>
      <c r="D104" s="208" t="s">
        <v>2322</v>
      </c>
      <c r="E104" s="209">
        <v>3367</v>
      </c>
      <c r="F104" s="210" t="s">
        <v>2354</v>
      </c>
      <c r="G104" s="1035">
        <v>8563</v>
      </c>
      <c r="H104" s="185" t="s">
        <v>1105</v>
      </c>
      <c r="I104" s="248"/>
      <c r="J104" s="945"/>
    </row>
    <row r="105" spans="1:10" ht="27" customHeight="1">
      <c r="A105" s="41">
        <v>8</v>
      </c>
      <c r="B105" s="207" t="s">
        <v>2357</v>
      </c>
      <c r="C105" s="185" t="s">
        <v>2356</v>
      </c>
      <c r="D105" s="208" t="s">
        <v>2344</v>
      </c>
      <c r="E105" s="209">
        <v>42275</v>
      </c>
      <c r="F105" s="210" t="s">
        <v>13</v>
      </c>
      <c r="G105" s="1036"/>
      <c r="H105" s="185" t="s">
        <v>1105</v>
      </c>
      <c r="I105" s="248"/>
      <c r="J105" s="945"/>
    </row>
    <row r="106" spans="1:10" ht="27" customHeight="1">
      <c r="A106" s="41">
        <v>9</v>
      </c>
      <c r="B106" s="207" t="s">
        <v>975</v>
      </c>
      <c r="C106" s="182" t="s">
        <v>2380</v>
      </c>
      <c r="D106" s="220" t="s">
        <v>2344</v>
      </c>
      <c r="E106" s="209">
        <v>30748</v>
      </c>
      <c r="F106" s="210" t="s">
        <v>13</v>
      </c>
      <c r="G106" s="210">
        <v>9873197176</v>
      </c>
      <c r="H106" s="239"/>
      <c r="I106" s="235"/>
      <c r="J106" s="945"/>
    </row>
    <row r="107" spans="1:10" s="2" customFormat="1" ht="27" customHeight="1">
      <c r="A107" s="41">
        <v>10</v>
      </c>
      <c r="B107" s="207" t="s">
        <v>982</v>
      </c>
      <c r="C107" s="241" t="s">
        <v>2406</v>
      </c>
      <c r="D107" s="228" t="s">
        <v>983</v>
      </c>
      <c r="E107" s="242">
        <v>2653</v>
      </c>
      <c r="F107" s="229" t="s">
        <v>865</v>
      </c>
      <c r="G107" s="243">
        <v>9457830257</v>
      </c>
      <c r="H107" s="227"/>
      <c r="I107" s="249"/>
      <c r="J107" s="851"/>
    </row>
    <row r="108" spans="1:10" ht="27" customHeight="1">
      <c r="A108" s="41">
        <v>11</v>
      </c>
      <c r="B108" s="207" t="s">
        <v>979</v>
      </c>
      <c r="C108" s="185" t="s">
        <v>2328</v>
      </c>
      <c r="D108" s="208" t="s">
        <v>131</v>
      </c>
      <c r="E108" s="209">
        <v>19810</v>
      </c>
      <c r="F108" s="210" t="s">
        <v>13</v>
      </c>
      <c r="G108" s="240">
        <v>9267978558</v>
      </c>
      <c r="H108" s="185"/>
      <c r="I108" s="248"/>
      <c r="J108" s="945"/>
    </row>
    <row r="109" spans="1:10" ht="27" customHeight="1">
      <c r="A109" s="41">
        <v>12</v>
      </c>
      <c r="B109" s="207" t="s">
        <v>2397</v>
      </c>
      <c r="C109" s="182" t="s">
        <v>2400</v>
      </c>
      <c r="D109" s="220" t="s">
        <v>2399</v>
      </c>
      <c r="E109" s="209">
        <v>5246</v>
      </c>
      <c r="F109" s="211" t="s">
        <v>69</v>
      </c>
      <c r="G109" s="230">
        <v>9811230158</v>
      </c>
      <c r="H109" s="182"/>
      <c r="I109" s="235"/>
      <c r="J109" s="945"/>
    </row>
    <row r="110" spans="1:10" ht="27" customHeight="1">
      <c r="A110" s="41">
        <v>13</v>
      </c>
      <c r="B110" s="207" t="s">
        <v>2379</v>
      </c>
      <c r="C110" s="185" t="s">
        <v>2377</v>
      </c>
      <c r="D110" s="208" t="s">
        <v>2378</v>
      </c>
      <c r="E110" s="209">
        <v>324791</v>
      </c>
      <c r="F110" s="210" t="s">
        <v>13</v>
      </c>
      <c r="G110" s="240">
        <v>3010</v>
      </c>
      <c r="H110" s="185" t="s">
        <v>903</v>
      </c>
      <c r="I110" s="248"/>
      <c r="J110" s="945"/>
    </row>
    <row r="111" spans="1:10" ht="27" customHeight="1">
      <c r="A111" s="41">
        <v>14</v>
      </c>
      <c r="B111" s="207" t="s">
        <v>984</v>
      </c>
      <c r="C111" s="185" t="s">
        <v>2332</v>
      </c>
      <c r="D111" s="208" t="s">
        <v>2331</v>
      </c>
      <c r="E111" s="209">
        <v>94022</v>
      </c>
      <c r="F111" s="210" t="s">
        <v>13</v>
      </c>
      <c r="G111" s="240">
        <v>9910107787</v>
      </c>
      <c r="H111" s="185"/>
      <c r="I111" s="248"/>
      <c r="J111" s="947"/>
    </row>
    <row r="112" spans="1:10" ht="27" customHeight="1">
      <c r="A112" s="41">
        <v>15</v>
      </c>
      <c r="B112" s="207" t="s">
        <v>2248</v>
      </c>
      <c r="C112" s="185" t="s">
        <v>2284</v>
      </c>
      <c r="D112" s="208" t="s">
        <v>2252</v>
      </c>
      <c r="E112" s="209">
        <v>80160</v>
      </c>
      <c r="F112" s="210" t="s">
        <v>13</v>
      </c>
      <c r="G112" s="240" t="s">
        <v>980</v>
      </c>
      <c r="H112" s="239"/>
      <c r="I112" s="248"/>
    </row>
    <row r="113" spans="1:10" ht="27" customHeight="1">
      <c r="A113" s="41">
        <v>16</v>
      </c>
      <c r="B113" s="207" t="s">
        <v>2250</v>
      </c>
      <c r="C113" s="185" t="s">
        <v>2333</v>
      </c>
      <c r="D113" s="208" t="s">
        <v>606</v>
      </c>
      <c r="E113" s="209">
        <v>34958</v>
      </c>
      <c r="F113" s="210" t="s">
        <v>13</v>
      </c>
      <c r="G113" s="240">
        <v>9717181298</v>
      </c>
      <c r="H113" s="185"/>
      <c r="I113" s="248"/>
      <c r="J113" s="947"/>
    </row>
    <row r="114" spans="1:10" ht="27" customHeight="1">
      <c r="A114" s="41">
        <v>17</v>
      </c>
      <c r="B114" s="207" t="s">
        <v>985</v>
      </c>
      <c r="C114" s="185" t="s">
        <v>2366</v>
      </c>
      <c r="D114" s="208" t="s">
        <v>2365</v>
      </c>
      <c r="E114" s="209">
        <v>52603</v>
      </c>
      <c r="F114" s="210" t="s">
        <v>13</v>
      </c>
      <c r="G114" s="240">
        <v>9811420742</v>
      </c>
      <c r="H114" s="185" t="s">
        <v>986</v>
      </c>
      <c r="I114" s="248"/>
      <c r="J114" s="947"/>
    </row>
    <row r="115" spans="1:10" ht="27" customHeight="1">
      <c r="A115" s="41">
        <v>18</v>
      </c>
      <c r="B115" s="207" t="s">
        <v>2402</v>
      </c>
      <c r="C115" s="185" t="s">
        <v>2404</v>
      </c>
      <c r="D115" s="208" t="s">
        <v>2258</v>
      </c>
      <c r="E115" s="209">
        <v>2371</v>
      </c>
      <c r="F115" s="210" t="s">
        <v>223</v>
      </c>
      <c r="G115" s="240">
        <v>9711696290</v>
      </c>
      <c r="H115" s="185" t="s">
        <v>1002</v>
      </c>
      <c r="I115" s="248"/>
      <c r="J115" s="947"/>
    </row>
    <row r="116" spans="1:10" ht="27" customHeight="1" thickBot="1">
      <c r="A116" s="447">
        <v>19</v>
      </c>
      <c r="B116" s="216" t="s">
        <v>2403</v>
      </c>
      <c r="C116" s="183" t="s">
        <v>2427</v>
      </c>
      <c r="D116" s="217" t="s">
        <v>2426</v>
      </c>
      <c r="E116" s="218">
        <v>43669</v>
      </c>
      <c r="F116" s="244" t="s">
        <v>13</v>
      </c>
      <c r="G116" s="458">
        <v>3172</v>
      </c>
      <c r="H116" s="183" t="s">
        <v>712</v>
      </c>
      <c r="I116" s="250"/>
      <c r="J116" s="947"/>
    </row>
    <row r="117" spans="1:10" ht="30" customHeight="1" thickBot="1">
      <c r="A117" s="444" t="s">
        <v>2</v>
      </c>
      <c r="B117" s="205" t="s">
        <v>3</v>
      </c>
      <c r="C117" s="205" t="s">
        <v>4</v>
      </c>
      <c r="D117" s="206" t="s">
        <v>5</v>
      </c>
      <c r="E117" s="205" t="s">
        <v>6</v>
      </c>
      <c r="F117" s="205" t="s">
        <v>7</v>
      </c>
      <c r="G117" s="205" t="s">
        <v>8</v>
      </c>
      <c r="H117" s="205" t="s">
        <v>9</v>
      </c>
      <c r="I117" s="231" t="s">
        <v>10</v>
      </c>
      <c r="J117" s="851">
        <v>5</v>
      </c>
    </row>
    <row r="118" spans="1:10" ht="30" customHeight="1" thickBot="1">
      <c r="A118" s="446"/>
      <c r="B118" s="219"/>
      <c r="C118" s="219"/>
      <c r="D118" s="219" t="s">
        <v>149</v>
      </c>
      <c r="E118" s="219"/>
      <c r="F118" s="219"/>
      <c r="G118" s="219"/>
      <c r="H118" s="219"/>
      <c r="I118" s="234"/>
    </row>
    <row r="119" spans="1:10" ht="45" customHeight="1">
      <c r="A119" s="43">
        <v>1</v>
      </c>
      <c r="B119" s="207" t="s">
        <v>2424</v>
      </c>
      <c r="C119" s="185" t="s">
        <v>2451</v>
      </c>
      <c r="D119" s="208" t="s">
        <v>2376</v>
      </c>
      <c r="E119" s="209" t="s">
        <v>867</v>
      </c>
      <c r="F119" s="209">
        <v>3367</v>
      </c>
      <c r="G119" s="213">
        <v>9013636580</v>
      </c>
      <c r="H119" s="1067" t="s">
        <v>2408</v>
      </c>
      <c r="I119" s="486"/>
      <c r="J119" s="945"/>
    </row>
    <row r="120" spans="1:10" ht="45" customHeight="1">
      <c r="A120" s="43">
        <v>2</v>
      </c>
      <c r="B120" s="207" t="s">
        <v>2423</v>
      </c>
      <c r="C120" s="185" t="s">
        <v>2452</v>
      </c>
      <c r="D120" s="208" t="s">
        <v>2376</v>
      </c>
      <c r="E120" s="209" t="s">
        <v>223</v>
      </c>
      <c r="F120" s="209">
        <v>2371</v>
      </c>
      <c r="G120" s="213">
        <v>9953416627</v>
      </c>
      <c r="H120" s="1066"/>
      <c r="I120" s="487"/>
      <c r="J120" s="945"/>
    </row>
    <row r="121" spans="1:10" ht="45" customHeight="1">
      <c r="A121" s="43">
        <v>3</v>
      </c>
      <c r="B121" s="207" t="s">
        <v>2425</v>
      </c>
      <c r="C121" s="185" t="s">
        <v>2464</v>
      </c>
      <c r="D121" s="208" t="s">
        <v>2411</v>
      </c>
      <c r="E121" s="209" t="s">
        <v>69</v>
      </c>
      <c r="F121" s="210">
        <v>1890</v>
      </c>
      <c r="G121" s="213">
        <v>9718725920</v>
      </c>
      <c r="H121" s="1066"/>
      <c r="I121" s="487"/>
      <c r="J121" s="945"/>
    </row>
    <row r="122" spans="1:10" ht="45" customHeight="1">
      <c r="A122" s="43">
        <v>4</v>
      </c>
      <c r="B122" s="207" t="s">
        <v>2409</v>
      </c>
      <c r="C122" s="185" t="s">
        <v>2476</v>
      </c>
      <c r="D122" s="208" t="s">
        <v>2474</v>
      </c>
      <c r="E122" s="209" t="s">
        <v>13</v>
      </c>
      <c r="F122" s="209">
        <v>34733</v>
      </c>
      <c r="G122" s="213">
        <v>9013636580</v>
      </c>
      <c r="H122" s="1066"/>
      <c r="I122" s="248"/>
      <c r="J122" s="945"/>
    </row>
    <row r="123" spans="1:10" ht="45" customHeight="1">
      <c r="A123" s="43">
        <v>5</v>
      </c>
      <c r="B123" s="207" t="s">
        <v>2410</v>
      </c>
      <c r="C123" s="185" t="s">
        <v>2475</v>
      </c>
      <c r="D123" s="208" t="s">
        <v>2474</v>
      </c>
      <c r="E123" s="209" t="s">
        <v>13</v>
      </c>
      <c r="F123" s="209">
        <v>26811</v>
      </c>
      <c r="G123" s="213">
        <v>9718725920</v>
      </c>
      <c r="H123" s="1066"/>
      <c r="I123" s="485"/>
      <c r="J123" s="945"/>
    </row>
    <row r="124" spans="1:10" ht="45" customHeight="1">
      <c r="A124" s="43">
        <v>6</v>
      </c>
      <c r="B124" s="207" t="s">
        <v>286</v>
      </c>
      <c r="C124" s="185" t="s">
        <v>2483</v>
      </c>
      <c r="D124" s="208" t="s">
        <v>2316</v>
      </c>
      <c r="E124" s="209" t="s">
        <v>13</v>
      </c>
      <c r="F124" s="209">
        <v>22743</v>
      </c>
      <c r="G124" s="213">
        <v>9953416627</v>
      </c>
      <c r="H124" s="1051"/>
      <c r="I124" s="232"/>
      <c r="J124" s="945"/>
    </row>
    <row r="125" spans="1:10" ht="45" customHeight="1">
      <c r="A125" s="43">
        <v>7</v>
      </c>
      <c r="B125" s="207" t="s">
        <v>2397</v>
      </c>
      <c r="C125" s="182" t="s">
        <v>2398</v>
      </c>
      <c r="D125" s="220" t="s">
        <v>2396</v>
      </c>
      <c r="E125" s="209">
        <v>100495</v>
      </c>
      <c r="F125" s="211" t="s">
        <v>13</v>
      </c>
      <c r="G125" s="230">
        <v>9811230158</v>
      </c>
      <c r="H125" s="182"/>
      <c r="I125" s="235"/>
      <c r="J125" s="945"/>
    </row>
    <row r="126" spans="1:10" ht="45" customHeight="1">
      <c r="A126" s="43">
        <v>8</v>
      </c>
      <c r="B126" s="207" t="s">
        <v>2401</v>
      </c>
      <c r="C126" s="185" t="s">
        <v>2405</v>
      </c>
      <c r="D126" s="208" t="s">
        <v>2407</v>
      </c>
      <c r="E126" s="209">
        <v>32510</v>
      </c>
      <c r="F126" s="210" t="s">
        <v>13</v>
      </c>
      <c r="G126" s="213">
        <v>9711696290</v>
      </c>
      <c r="H126" s="185" t="s">
        <v>1002</v>
      </c>
      <c r="I126" s="248"/>
      <c r="J126" s="945"/>
    </row>
    <row r="127" spans="1:10" ht="45" customHeight="1">
      <c r="A127" s="43">
        <v>9</v>
      </c>
      <c r="B127" s="207" t="s">
        <v>2482</v>
      </c>
      <c r="C127" s="185" t="s">
        <v>2481</v>
      </c>
      <c r="D127" s="208" t="s">
        <v>2480</v>
      </c>
      <c r="E127" s="209">
        <v>137999</v>
      </c>
      <c r="F127" s="210" t="s">
        <v>13</v>
      </c>
      <c r="G127" s="213">
        <v>7838407778</v>
      </c>
      <c r="H127" s="185"/>
      <c r="I127" s="248"/>
      <c r="J127" s="945"/>
    </row>
    <row r="128" spans="1:10" ht="45" customHeight="1">
      <c r="A128" s="43">
        <v>10</v>
      </c>
      <c r="B128" s="207" t="s">
        <v>2337</v>
      </c>
      <c r="C128" s="185" t="s">
        <v>2335</v>
      </c>
      <c r="D128" s="208" t="s">
        <v>2336</v>
      </c>
      <c r="E128" s="209">
        <v>9081</v>
      </c>
      <c r="F128" s="210" t="s">
        <v>865</v>
      </c>
      <c r="G128" s="1042">
        <v>9310047859</v>
      </c>
      <c r="H128" s="1065" t="s">
        <v>903</v>
      </c>
      <c r="I128" s="232"/>
      <c r="J128" s="945"/>
    </row>
    <row r="129" spans="1:10" ht="45" customHeight="1">
      <c r="A129" s="43">
        <v>11</v>
      </c>
      <c r="B129" s="469" t="s">
        <v>988</v>
      </c>
      <c r="C129" s="185" t="s">
        <v>2334</v>
      </c>
      <c r="D129" s="208" t="s">
        <v>2316</v>
      </c>
      <c r="E129" s="209">
        <v>77525</v>
      </c>
      <c r="F129" s="210" t="s">
        <v>13</v>
      </c>
      <c r="G129" s="1042"/>
      <c r="H129" s="1065"/>
      <c r="I129" s="232"/>
      <c r="J129" s="945"/>
    </row>
    <row r="130" spans="1:10" ht="45" customHeight="1">
      <c r="A130" s="43">
        <v>12</v>
      </c>
      <c r="B130" s="207" t="s">
        <v>972</v>
      </c>
      <c r="C130" s="185" t="s">
        <v>2315</v>
      </c>
      <c r="D130" s="208" t="s">
        <v>2316</v>
      </c>
      <c r="E130" s="209">
        <v>7505</v>
      </c>
      <c r="F130" s="210" t="s">
        <v>865</v>
      </c>
      <c r="G130" s="215">
        <v>9868902258</v>
      </c>
      <c r="H130" s="185"/>
      <c r="I130" s="232"/>
    </row>
    <row r="131" spans="1:10" ht="45" customHeight="1">
      <c r="A131" s="43">
        <v>13</v>
      </c>
      <c r="B131" s="207" t="s">
        <v>987</v>
      </c>
      <c r="C131" s="185" t="s">
        <v>2477</v>
      </c>
      <c r="D131" s="208" t="s">
        <v>2478</v>
      </c>
      <c r="E131" s="209">
        <v>38677</v>
      </c>
      <c r="F131" s="210" t="s">
        <v>13</v>
      </c>
      <c r="G131" s="215">
        <v>9810125452</v>
      </c>
      <c r="H131" s="185"/>
      <c r="I131" s="232"/>
    </row>
    <row r="132" spans="1:10" ht="45" customHeight="1" thickBot="1">
      <c r="A132" s="457">
        <v>14</v>
      </c>
      <c r="B132" s="216" t="s">
        <v>989</v>
      </c>
      <c r="C132" s="183" t="s">
        <v>2466</v>
      </c>
      <c r="D132" s="217" t="s">
        <v>2414</v>
      </c>
      <c r="E132" s="218">
        <v>33759</v>
      </c>
      <c r="F132" s="244" t="s">
        <v>17</v>
      </c>
      <c r="G132" s="245">
        <v>9411921459</v>
      </c>
      <c r="H132" s="183"/>
      <c r="I132" s="233"/>
    </row>
    <row r="133" spans="1:10" ht="27" customHeight="1">
      <c r="A133" s="252"/>
      <c r="B133" s="253"/>
      <c r="C133" s="256"/>
      <c r="D133" s="498"/>
      <c r="E133" s="254"/>
      <c r="F133" s="252"/>
      <c r="G133" s="255"/>
      <c r="H133" s="256"/>
      <c r="I133" s="256"/>
    </row>
    <row r="134" spans="1:10" ht="27" customHeight="1">
      <c r="A134" s="8"/>
      <c r="B134" s="44"/>
      <c r="C134" s="236"/>
      <c r="D134" s="237"/>
      <c r="E134" s="238"/>
      <c r="F134" s="8"/>
      <c r="G134" s="251"/>
      <c r="H134" s="236"/>
      <c r="I134" s="236"/>
    </row>
    <row r="135" spans="1:10" ht="27" customHeight="1">
      <c r="A135" s="8"/>
      <c r="B135" s="44"/>
      <c r="C135" s="236"/>
      <c r="D135" s="237"/>
      <c r="E135" s="238"/>
      <c r="F135" s="8"/>
      <c r="G135" s="251"/>
      <c r="H135" s="236"/>
      <c r="I135" s="236"/>
    </row>
    <row r="136" spans="1:10" ht="27" customHeight="1">
      <c r="A136" s="8"/>
      <c r="B136" s="44"/>
      <c r="C136" s="236"/>
      <c r="D136" s="237"/>
      <c r="E136" s="238"/>
      <c r="F136" s="8"/>
      <c r="G136" s="251"/>
      <c r="H136" s="236"/>
      <c r="I136" s="236"/>
    </row>
    <row r="137" spans="1:10" ht="27" customHeight="1">
      <c r="A137" s="8"/>
      <c r="B137" s="44"/>
      <c r="C137" s="236"/>
      <c r="D137" s="237"/>
      <c r="E137" s="238"/>
      <c r="F137" s="8"/>
      <c r="G137" s="251"/>
      <c r="H137" s="236"/>
      <c r="I137" s="236"/>
    </row>
    <row r="138" spans="1:10" ht="27" customHeight="1">
      <c r="A138" s="8"/>
      <c r="B138" s="44"/>
      <c r="C138" s="236"/>
      <c r="D138" s="237"/>
      <c r="E138" s="238"/>
      <c r="F138" s="8"/>
      <c r="G138" s="251"/>
      <c r="H138" s="236"/>
      <c r="I138" s="236"/>
    </row>
    <row r="139" spans="1:10" ht="27" customHeight="1" thickBot="1">
      <c r="A139" s="8"/>
      <c r="B139" s="44"/>
      <c r="C139" s="236"/>
      <c r="D139" s="237"/>
      <c r="E139" s="238"/>
      <c r="F139" s="8"/>
      <c r="G139" s="251"/>
      <c r="H139" s="236"/>
      <c r="I139" s="236"/>
    </row>
    <row r="140" spans="1:10" ht="30" customHeight="1" thickBot="1">
      <c r="A140" s="444" t="s">
        <v>2</v>
      </c>
      <c r="B140" s="205" t="s">
        <v>3</v>
      </c>
      <c r="C140" s="205" t="s">
        <v>4</v>
      </c>
      <c r="D140" s="206" t="s">
        <v>5</v>
      </c>
      <c r="E140" s="205" t="s">
        <v>6</v>
      </c>
      <c r="F140" s="205" t="s">
        <v>7</v>
      </c>
      <c r="G140" s="205" t="s">
        <v>8</v>
      </c>
      <c r="H140" s="205" t="s">
        <v>9</v>
      </c>
      <c r="I140" s="231" t="s">
        <v>10</v>
      </c>
      <c r="J140" s="851">
        <v>6</v>
      </c>
    </row>
    <row r="141" spans="1:10" ht="30" customHeight="1" thickBot="1">
      <c r="A141" s="446"/>
      <c r="B141" s="219"/>
      <c r="C141" s="219"/>
      <c r="D141" s="219" t="s">
        <v>196</v>
      </c>
      <c r="E141" s="219"/>
      <c r="F141" s="219"/>
      <c r="G141" s="219"/>
      <c r="H141" s="219"/>
      <c r="I141" s="234"/>
    </row>
    <row r="142" spans="1:10" ht="35.15" customHeight="1">
      <c r="A142" s="43">
        <v>1</v>
      </c>
      <c r="B142" s="207" t="s">
        <v>2544</v>
      </c>
      <c r="C142" s="185" t="s">
        <v>2559</v>
      </c>
      <c r="D142" s="208" t="s">
        <v>2537</v>
      </c>
      <c r="E142" s="209">
        <v>3367</v>
      </c>
      <c r="F142" s="210" t="s">
        <v>867</v>
      </c>
      <c r="G142" s="1049">
        <v>9215601400</v>
      </c>
      <c r="H142" s="185"/>
      <c r="I142" s="232"/>
      <c r="J142" s="945"/>
    </row>
    <row r="143" spans="1:10" ht="35.15" customHeight="1">
      <c r="A143" s="43">
        <v>2</v>
      </c>
      <c r="B143" s="207" t="s">
        <v>2542</v>
      </c>
      <c r="C143" s="185" t="s">
        <v>2805</v>
      </c>
      <c r="D143" s="208" t="s">
        <v>2543</v>
      </c>
      <c r="E143" s="209">
        <v>46877</v>
      </c>
      <c r="F143" s="210" t="s">
        <v>13</v>
      </c>
      <c r="G143" s="1038"/>
      <c r="H143" s="185"/>
      <c r="I143" s="232"/>
      <c r="J143" s="945"/>
    </row>
    <row r="144" spans="1:10" ht="35.15" customHeight="1">
      <c r="A144" s="43">
        <v>3</v>
      </c>
      <c r="B144" s="207" t="s">
        <v>2593</v>
      </c>
      <c r="C144" s="185" t="s">
        <v>2806</v>
      </c>
      <c r="D144" s="208" t="s">
        <v>2592</v>
      </c>
      <c r="E144" s="209">
        <v>64265</v>
      </c>
      <c r="F144" s="210" t="s">
        <v>13</v>
      </c>
      <c r="G144" s="213">
        <v>9871923550</v>
      </c>
      <c r="H144" s="185"/>
      <c r="I144" s="232"/>
      <c r="J144" s="945"/>
    </row>
    <row r="145" spans="1:10" ht="35.15" customHeight="1">
      <c r="A145" s="43">
        <v>4</v>
      </c>
      <c r="B145" s="207" t="s">
        <v>2615</v>
      </c>
      <c r="C145" s="185" t="s">
        <v>990</v>
      </c>
      <c r="D145" s="208" t="s">
        <v>991</v>
      </c>
      <c r="E145" s="209">
        <v>145114</v>
      </c>
      <c r="F145" s="210" t="s">
        <v>99</v>
      </c>
      <c r="G145" s="215">
        <v>7192</v>
      </c>
      <c r="H145" s="185" t="s">
        <v>992</v>
      </c>
      <c r="I145" s="232"/>
      <c r="J145" s="945"/>
    </row>
    <row r="146" spans="1:10" ht="35.15" customHeight="1">
      <c r="A146" s="43">
        <v>5</v>
      </c>
      <c r="B146" s="207" t="s">
        <v>993</v>
      </c>
      <c r="C146" s="185" t="s">
        <v>994</v>
      </c>
      <c r="D146" s="208" t="s">
        <v>995</v>
      </c>
      <c r="E146" s="209">
        <v>91481</v>
      </c>
      <c r="F146" s="210" t="s">
        <v>13</v>
      </c>
      <c r="G146" s="215" t="s">
        <v>514</v>
      </c>
      <c r="H146" s="185"/>
      <c r="I146" s="232"/>
      <c r="J146" s="945"/>
    </row>
    <row r="147" spans="1:10" ht="35.15" customHeight="1">
      <c r="A147" s="43">
        <v>6</v>
      </c>
      <c r="B147" s="207" t="s">
        <v>996</v>
      </c>
      <c r="C147" s="185" t="s">
        <v>2804</v>
      </c>
      <c r="D147" s="208" t="s">
        <v>2540</v>
      </c>
      <c r="E147" s="209">
        <v>54145</v>
      </c>
      <c r="F147" s="210" t="s">
        <v>13</v>
      </c>
      <c r="G147" s="215" t="s">
        <v>2541</v>
      </c>
      <c r="H147" s="185"/>
      <c r="I147" s="232"/>
      <c r="J147" s="945"/>
    </row>
    <row r="148" spans="1:10" ht="35.15" customHeight="1">
      <c r="A148" s="43">
        <v>7</v>
      </c>
      <c r="B148" s="207" t="s">
        <v>997</v>
      </c>
      <c r="C148" s="185" t="s">
        <v>2803</v>
      </c>
      <c r="D148" s="208" t="s">
        <v>2651</v>
      </c>
      <c r="E148" s="209">
        <v>38687</v>
      </c>
      <c r="F148" s="210" t="s">
        <v>13</v>
      </c>
      <c r="G148" s="215">
        <v>9999489476</v>
      </c>
      <c r="H148" s="185"/>
      <c r="I148" s="232"/>
      <c r="J148" s="945"/>
    </row>
    <row r="149" spans="1:10" ht="35.15" customHeight="1" thickBot="1">
      <c r="A149" s="43">
        <v>8</v>
      </c>
      <c r="B149" s="207" t="s">
        <v>998</v>
      </c>
      <c r="C149" s="185" t="s">
        <v>999</v>
      </c>
      <c r="D149" s="208" t="s">
        <v>1000</v>
      </c>
      <c r="E149" s="209">
        <v>9088</v>
      </c>
      <c r="F149" s="210" t="s">
        <v>865</v>
      </c>
      <c r="G149" s="215">
        <v>9897030005</v>
      </c>
      <c r="H149" s="185"/>
      <c r="I149" s="232"/>
    </row>
    <row r="150" spans="1:10" ht="30" customHeight="1" thickBot="1">
      <c r="A150" s="446"/>
      <c r="B150" s="219"/>
      <c r="C150" s="219"/>
      <c r="D150" s="219" t="s">
        <v>229</v>
      </c>
      <c r="E150" s="219"/>
      <c r="F150" s="219"/>
      <c r="G150" s="219"/>
      <c r="H150" s="219"/>
      <c r="I150" s="234"/>
    </row>
    <row r="151" spans="1:10" ht="35.15" customHeight="1">
      <c r="A151" s="43">
        <v>1</v>
      </c>
      <c r="B151" s="246" t="s">
        <v>1001</v>
      </c>
      <c r="C151" s="533" t="s">
        <v>2674</v>
      </c>
      <c r="D151" s="208" t="s">
        <v>2675</v>
      </c>
      <c r="E151" s="209">
        <v>82625</v>
      </c>
      <c r="F151" s="210" t="s">
        <v>377</v>
      </c>
      <c r="G151" s="215">
        <v>9136977771</v>
      </c>
      <c r="H151" s="185" t="s">
        <v>1002</v>
      </c>
      <c r="I151" s="248"/>
      <c r="J151" s="945"/>
    </row>
    <row r="152" spans="1:10" ht="35.15" customHeight="1">
      <c r="A152" s="41">
        <v>2</v>
      </c>
      <c r="B152" s="246" t="s">
        <v>1003</v>
      </c>
      <c r="C152" s="533" t="s">
        <v>2667</v>
      </c>
      <c r="D152" s="208" t="s">
        <v>2666</v>
      </c>
      <c r="E152" s="209">
        <v>30456</v>
      </c>
      <c r="F152" s="210" t="s">
        <v>13</v>
      </c>
      <c r="G152" s="215">
        <v>7011658886</v>
      </c>
      <c r="H152" s="185"/>
      <c r="I152" s="248"/>
      <c r="J152" s="945"/>
    </row>
    <row r="153" spans="1:10" ht="35" customHeight="1">
      <c r="A153" s="41">
        <v>3</v>
      </c>
      <c r="B153" s="246" t="s">
        <v>2678</v>
      </c>
      <c r="C153" s="533" t="s">
        <v>2679</v>
      </c>
      <c r="D153" s="208" t="s">
        <v>2666</v>
      </c>
      <c r="E153" s="209">
        <v>42415</v>
      </c>
      <c r="F153" s="210" t="s">
        <v>13</v>
      </c>
      <c r="G153" s="215">
        <v>9810559704</v>
      </c>
      <c r="H153" s="185"/>
      <c r="I153" s="248"/>
      <c r="J153" s="945"/>
    </row>
    <row r="154" spans="1:10" ht="35" customHeight="1">
      <c r="A154" s="41">
        <v>4</v>
      </c>
      <c r="B154" s="246" t="s">
        <v>1004</v>
      </c>
      <c r="C154" s="533" t="s">
        <v>2680</v>
      </c>
      <c r="D154" s="208" t="s">
        <v>2666</v>
      </c>
      <c r="E154" s="209">
        <v>10123</v>
      </c>
      <c r="F154" s="210" t="s">
        <v>13</v>
      </c>
      <c r="G154" s="215">
        <v>7678592979</v>
      </c>
      <c r="H154" s="185" t="s">
        <v>1005</v>
      </c>
      <c r="I154" s="248"/>
      <c r="J154" s="945"/>
    </row>
    <row r="155" spans="1:10" ht="35" customHeight="1">
      <c r="A155" s="41">
        <v>5</v>
      </c>
      <c r="B155" s="246" t="s">
        <v>975</v>
      </c>
      <c r="C155" s="533" t="s">
        <v>2855</v>
      </c>
      <c r="D155" s="208" t="s">
        <v>2854</v>
      </c>
      <c r="E155" s="209">
        <v>2079</v>
      </c>
      <c r="F155" s="210" t="s">
        <v>1006</v>
      </c>
      <c r="G155" s="215">
        <v>9873197176</v>
      </c>
      <c r="H155" s="185"/>
      <c r="I155" s="248"/>
      <c r="J155" s="945"/>
    </row>
    <row r="156" spans="1:10" ht="35.15" customHeight="1">
      <c r="A156" s="41">
        <v>6</v>
      </c>
      <c r="B156" s="246" t="s">
        <v>1009</v>
      </c>
      <c r="C156" s="182" t="s">
        <v>2708</v>
      </c>
      <c r="D156" s="220" t="s">
        <v>2630</v>
      </c>
      <c r="E156" s="221">
        <v>34325</v>
      </c>
      <c r="F156" s="211" t="s">
        <v>13</v>
      </c>
      <c r="G156" s="1035">
        <v>3171</v>
      </c>
      <c r="H156" s="1050" t="s">
        <v>992</v>
      </c>
      <c r="I156" s="1061"/>
      <c r="J156" s="945"/>
    </row>
    <row r="157" spans="1:10" ht="35.15" customHeight="1">
      <c r="A157" s="41">
        <v>7</v>
      </c>
      <c r="B157" s="246" t="s">
        <v>1009</v>
      </c>
      <c r="C157" s="182" t="s">
        <v>2709</v>
      </c>
      <c r="D157" s="220" t="s">
        <v>2630</v>
      </c>
      <c r="E157" s="221">
        <v>2208</v>
      </c>
      <c r="F157" s="211" t="s">
        <v>865</v>
      </c>
      <c r="G157" s="1036"/>
      <c r="H157" s="1051"/>
      <c r="I157" s="1062"/>
      <c r="J157" s="945"/>
    </row>
    <row r="158" spans="1:10" ht="35.15" customHeight="1">
      <c r="A158" s="41">
        <v>8</v>
      </c>
      <c r="B158" s="246" t="s">
        <v>1007</v>
      </c>
      <c r="C158" s="185" t="s">
        <v>2698</v>
      </c>
      <c r="D158" s="208" t="s">
        <v>2699</v>
      </c>
      <c r="E158" s="209">
        <v>34513</v>
      </c>
      <c r="F158" s="210" t="s">
        <v>17</v>
      </c>
      <c r="G158" s="215">
        <v>8709233918</v>
      </c>
      <c r="H158" s="185" t="s">
        <v>1008</v>
      </c>
      <c r="I158" s="248"/>
    </row>
    <row r="159" spans="1:10" s="3" customFormat="1" ht="35.15" customHeight="1">
      <c r="A159" s="41">
        <v>9</v>
      </c>
      <c r="B159" s="246" t="s">
        <v>1010</v>
      </c>
      <c r="C159" s="185" t="s">
        <v>2731</v>
      </c>
      <c r="D159" s="208" t="s">
        <v>2697</v>
      </c>
      <c r="E159" s="209">
        <v>34502</v>
      </c>
      <c r="F159" s="210" t="s">
        <v>69</v>
      </c>
      <c r="G159" s="1035">
        <v>6888</v>
      </c>
      <c r="H159" s="1050" t="s">
        <v>855</v>
      </c>
      <c r="I159" s="1061"/>
      <c r="J159" s="851"/>
    </row>
    <row r="160" spans="1:10" s="3" customFormat="1" ht="35" customHeight="1">
      <c r="A160" s="41">
        <v>10</v>
      </c>
      <c r="B160" s="246" t="s">
        <v>1010</v>
      </c>
      <c r="C160" s="185" t="s">
        <v>2732</v>
      </c>
      <c r="D160" s="208" t="s">
        <v>2730</v>
      </c>
      <c r="E160" s="209">
        <v>1803</v>
      </c>
      <c r="F160" s="215" t="s">
        <v>2733</v>
      </c>
      <c r="G160" s="1036"/>
      <c r="H160" s="1051"/>
      <c r="I160" s="1062"/>
      <c r="J160" s="851"/>
    </row>
    <row r="161" spans="1:10" ht="35.15" customHeight="1">
      <c r="A161" s="41">
        <v>11</v>
      </c>
      <c r="B161" s="246" t="s">
        <v>2652</v>
      </c>
      <c r="C161" s="185" t="s">
        <v>2653</v>
      </c>
      <c r="D161" s="208" t="s">
        <v>1011</v>
      </c>
      <c r="E161" s="209">
        <v>59706</v>
      </c>
      <c r="F161" s="210" t="s">
        <v>13</v>
      </c>
      <c r="G161" s="215">
        <v>9818116442</v>
      </c>
      <c r="H161" s="185"/>
      <c r="I161" s="248"/>
    </row>
    <row r="162" spans="1:10" ht="35.15" customHeight="1" thickBot="1">
      <c r="A162" s="447">
        <v>12</v>
      </c>
      <c r="B162" s="477" t="s">
        <v>1012</v>
      </c>
      <c r="C162" s="187" t="s">
        <v>1013</v>
      </c>
      <c r="D162" s="478" t="s">
        <v>1014</v>
      </c>
      <c r="E162" s="261">
        <v>58198</v>
      </c>
      <c r="F162" s="479" t="s">
        <v>13</v>
      </c>
      <c r="G162" s="479">
        <v>8860640992</v>
      </c>
      <c r="H162" s="187"/>
      <c r="I162" s="480"/>
    </row>
    <row r="163" spans="1:10" ht="27" customHeight="1">
      <c r="A163" s="8"/>
      <c r="B163" s="7"/>
      <c r="C163" s="236"/>
      <c r="D163" s="237"/>
      <c r="E163" s="238"/>
      <c r="F163" s="8"/>
      <c r="G163" s="8"/>
      <c r="H163" s="236"/>
      <c r="I163" s="236"/>
    </row>
    <row r="164" spans="1:10" ht="27" customHeight="1">
      <c r="A164" s="8"/>
      <c r="B164" s="7"/>
      <c r="C164" s="236"/>
      <c r="D164" s="237"/>
      <c r="E164" s="238"/>
      <c r="F164" s="8"/>
      <c r="G164" s="8"/>
      <c r="H164" s="236"/>
      <c r="I164" s="236"/>
    </row>
    <row r="165" spans="1:10" ht="27" customHeight="1" thickBot="1">
      <c r="A165" s="8"/>
      <c r="B165" s="7"/>
      <c r="C165" s="236"/>
      <c r="D165" s="237"/>
      <c r="E165" s="238"/>
      <c r="F165" s="8"/>
      <c r="G165" s="8"/>
      <c r="H165" s="236"/>
      <c r="I165" s="236"/>
    </row>
    <row r="166" spans="1:10" ht="30" customHeight="1" thickBot="1">
      <c r="A166" s="444" t="s">
        <v>2</v>
      </c>
      <c r="B166" s="205" t="s">
        <v>3</v>
      </c>
      <c r="C166" s="205" t="s">
        <v>4</v>
      </c>
      <c r="D166" s="206" t="s">
        <v>5</v>
      </c>
      <c r="E166" s="205" t="s">
        <v>6</v>
      </c>
      <c r="F166" s="205" t="s">
        <v>7</v>
      </c>
      <c r="G166" s="205" t="s">
        <v>8</v>
      </c>
      <c r="H166" s="205" t="s">
        <v>9</v>
      </c>
      <c r="I166" s="231" t="s">
        <v>10</v>
      </c>
      <c r="J166" s="851">
        <v>7</v>
      </c>
    </row>
    <row r="167" spans="1:10" ht="25" customHeight="1" thickBot="1">
      <c r="A167" s="446"/>
      <c r="B167" s="219"/>
      <c r="C167" s="219"/>
      <c r="D167" s="219" t="s">
        <v>263</v>
      </c>
      <c r="E167" s="219"/>
      <c r="F167" s="219"/>
      <c r="G167" s="219"/>
      <c r="H167" s="219"/>
      <c r="I167" s="234"/>
    </row>
    <row r="168" spans="1:10" ht="44" customHeight="1">
      <c r="A168" s="41">
        <v>1</v>
      </c>
      <c r="B168" s="207" t="s">
        <v>2800</v>
      </c>
      <c r="C168" s="185" t="s">
        <v>2802</v>
      </c>
      <c r="D168" s="208" t="s">
        <v>2801</v>
      </c>
      <c r="E168" s="209">
        <v>112735</v>
      </c>
      <c r="F168" s="210" t="s">
        <v>13</v>
      </c>
      <c r="G168" s="215">
        <v>9871338038</v>
      </c>
      <c r="H168" s="185"/>
      <c r="I168" s="232"/>
      <c r="J168" s="945"/>
    </row>
    <row r="169" spans="1:10" ht="44" customHeight="1">
      <c r="A169" s="41">
        <v>2</v>
      </c>
      <c r="B169" s="207" t="s">
        <v>1015</v>
      </c>
      <c r="C169" s="185" t="s">
        <v>1016</v>
      </c>
      <c r="D169" s="208" t="s">
        <v>1017</v>
      </c>
      <c r="E169" s="209">
        <v>5354</v>
      </c>
      <c r="F169" s="210" t="s">
        <v>865</v>
      </c>
      <c r="G169" s="215">
        <v>9999981295</v>
      </c>
      <c r="H169" s="185"/>
      <c r="I169" s="232"/>
    </row>
    <row r="170" spans="1:10" ht="44" customHeight="1">
      <c r="A170" s="41">
        <v>3</v>
      </c>
      <c r="B170" s="207" t="s">
        <v>1018</v>
      </c>
      <c r="C170" s="185" t="s">
        <v>1019</v>
      </c>
      <c r="D170" s="208" t="s">
        <v>1017</v>
      </c>
      <c r="E170" s="209">
        <v>27247</v>
      </c>
      <c r="F170" s="210" t="s">
        <v>865</v>
      </c>
      <c r="G170" s="215" t="s">
        <v>1020</v>
      </c>
      <c r="H170" s="215"/>
      <c r="I170" s="248"/>
    </row>
    <row r="171" spans="1:10" ht="44" customHeight="1">
      <c r="A171" s="41">
        <v>4</v>
      </c>
      <c r="B171" s="207" t="s">
        <v>1021</v>
      </c>
      <c r="C171" s="185" t="s">
        <v>2843</v>
      </c>
      <c r="D171" s="208" t="s">
        <v>2840</v>
      </c>
      <c r="E171" s="209">
        <v>23864</v>
      </c>
      <c r="F171" s="210" t="s">
        <v>13</v>
      </c>
      <c r="G171" s="210">
        <v>8076267960</v>
      </c>
      <c r="H171" s="185"/>
      <c r="I171" s="232"/>
    </row>
    <row r="172" spans="1:10" ht="44" customHeight="1">
      <c r="A172" s="41">
        <v>5</v>
      </c>
      <c r="B172" s="207" t="s">
        <v>1022</v>
      </c>
      <c r="C172" s="185" t="s">
        <v>2887</v>
      </c>
      <c r="D172" s="208" t="s">
        <v>2760</v>
      </c>
      <c r="E172" s="209">
        <v>45228</v>
      </c>
      <c r="F172" s="210" t="s">
        <v>13</v>
      </c>
      <c r="G172" s="210">
        <v>8527589756</v>
      </c>
      <c r="H172" s="185"/>
      <c r="I172" s="232"/>
    </row>
    <row r="173" spans="1:10" ht="44" customHeight="1">
      <c r="A173" s="41">
        <v>6</v>
      </c>
      <c r="B173" s="207" t="s">
        <v>1023</v>
      </c>
      <c r="C173" s="185" t="s">
        <v>1024</v>
      </c>
      <c r="D173" s="208" t="s">
        <v>1025</v>
      </c>
      <c r="E173" s="209">
        <v>10763</v>
      </c>
      <c r="F173" s="210" t="s">
        <v>865</v>
      </c>
      <c r="G173" s="210">
        <v>9811114286</v>
      </c>
      <c r="H173" s="185"/>
      <c r="I173" s="232"/>
    </row>
    <row r="174" spans="1:10" ht="44" customHeight="1">
      <c r="A174" s="41">
        <v>7</v>
      </c>
      <c r="B174" s="207" t="s">
        <v>1029</v>
      </c>
      <c r="C174" s="185" t="s">
        <v>2888</v>
      </c>
      <c r="D174" s="208" t="s">
        <v>278</v>
      </c>
      <c r="E174" s="209">
        <v>18197</v>
      </c>
      <c r="F174" s="210" t="s">
        <v>13</v>
      </c>
      <c r="G174" s="210">
        <v>8791617871</v>
      </c>
      <c r="H174" s="185" t="s">
        <v>365</v>
      </c>
      <c r="I174" s="248"/>
      <c r="J174" s="945"/>
    </row>
    <row r="175" spans="1:10" ht="44" customHeight="1">
      <c r="A175" s="41">
        <v>8</v>
      </c>
      <c r="B175" s="207" t="s">
        <v>1030</v>
      </c>
      <c r="C175" s="185" t="s">
        <v>2891</v>
      </c>
      <c r="D175" s="208" t="s">
        <v>2760</v>
      </c>
      <c r="E175" s="209">
        <v>49573</v>
      </c>
      <c r="F175" s="210" t="s">
        <v>13</v>
      </c>
      <c r="G175" s="210">
        <v>8791617871</v>
      </c>
      <c r="H175" s="185"/>
      <c r="I175" s="232"/>
      <c r="J175" s="945"/>
    </row>
    <row r="176" spans="1:10" ht="44" customHeight="1">
      <c r="A176" s="41">
        <v>9</v>
      </c>
      <c r="B176" s="207" t="s">
        <v>1031</v>
      </c>
      <c r="C176" s="185" t="s">
        <v>2853</v>
      </c>
      <c r="D176" s="208" t="s">
        <v>2852</v>
      </c>
      <c r="E176" s="209">
        <v>46116</v>
      </c>
      <c r="F176" s="210" t="s">
        <v>13</v>
      </c>
      <c r="G176" s="210">
        <v>9958323479</v>
      </c>
      <c r="H176" s="185" t="s">
        <v>2773</v>
      </c>
      <c r="I176" s="232"/>
    </row>
    <row r="177" spans="1:10" ht="44" customHeight="1">
      <c r="A177" s="41">
        <v>10</v>
      </c>
      <c r="B177" s="207" t="s">
        <v>2890</v>
      </c>
      <c r="C177" s="185" t="s">
        <v>2889</v>
      </c>
      <c r="D177" s="208" t="s">
        <v>2760</v>
      </c>
      <c r="E177" s="209">
        <v>90746</v>
      </c>
      <c r="F177" s="210" t="s">
        <v>13</v>
      </c>
      <c r="G177" s="210">
        <v>9999248632</v>
      </c>
      <c r="H177" s="185"/>
      <c r="I177" s="232"/>
      <c r="J177" s="945"/>
    </row>
    <row r="178" spans="1:10" ht="44" customHeight="1">
      <c r="A178" s="41">
        <v>11</v>
      </c>
      <c r="B178" s="207" t="s">
        <v>1032</v>
      </c>
      <c r="C178" s="185" t="s">
        <v>2859</v>
      </c>
      <c r="D178" s="208" t="s">
        <v>2760</v>
      </c>
      <c r="E178" s="209">
        <v>41560</v>
      </c>
      <c r="F178" s="210" t="s">
        <v>13</v>
      </c>
      <c r="G178" s="210">
        <v>9350040663</v>
      </c>
      <c r="H178" s="185"/>
      <c r="I178" s="232"/>
    </row>
    <row r="179" spans="1:10" ht="44" customHeight="1">
      <c r="A179" s="41">
        <v>12</v>
      </c>
      <c r="B179" s="207" t="s">
        <v>2883</v>
      </c>
      <c r="C179" s="185" t="s">
        <v>2881</v>
      </c>
      <c r="D179" s="208" t="s">
        <v>2860</v>
      </c>
      <c r="E179" s="209">
        <v>755</v>
      </c>
      <c r="F179" s="210" t="s">
        <v>2882</v>
      </c>
      <c r="G179" s="1035"/>
      <c r="H179" s="185" t="s">
        <v>365</v>
      </c>
      <c r="I179" s="232"/>
    </row>
    <row r="180" spans="1:10" ht="44" customHeight="1">
      <c r="A180" s="41">
        <v>13</v>
      </c>
      <c r="B180" s="246" t="s">
        <v>2880</v>
      </c>
      <c r="C180" s="185" t="s">
        <v>2921</v>
      </c>
      <c r="D180" s="208" t="s">
        <v>2865</v>
      </c>
      <c r="E180" s="209">
        <v>10496</v>
      </c>
      <c r="F180" s="210" t="s">
        <v>13</v>
      </c>
      <c r="G180" s="1036"/>
      <c r="H180" s="185" t="s">
        <v>365</v>
      </c>
      <c r="I180" s="232"/>
    </row>
    <row r="181" spans="1:10" ht="44" customHeight="1">
      <c r="A181" s="41">
        <v>14</v>
      </c>
      <c r="B181" s="207" t="s">
        <v>1033</v>
      </c>
      <c r="C181" s="185" t="s">
        <v>2915</v>
      </c>
      <c r="D181" s="208" t="s">
        <v>2865</v>
      </c>
      <c r="E181" s="209">
        <v>83550</v>
      </c>
      <c r="F181" s="210" t="s">
        <v>13</v>
      </c>
      <c r="G181" s="215">
        <v>9810547373</v>
      </c>
      <c r="H181" s="215"/>
      <c r="I181" s="248"/>
      <c r="J181" s="945"/>
    </row>
    <row r="182" spans="1:10" ht="44" customHeight="1">
      <c r="A182" s="41">
        <v>15</v>
      </c>
      <c r="B182" s="207" t="s">
        <v>1034</v>
      </c>
      <c r="C182" s="185" t="s">
        <v>2917</v>
      </c>
      <c r="D182" s="208" t="s">
        <v>2865</v>
      </c>
      <c r="E182" s="209">
        <v>11748</v>
      </c>
      <c r="F182" s="210" t="s">
        <v>13</v>
      </c>
      <c r="G182" s="210">
        <v>8527610433</v>
      </c>
      <c r="H182" s="185"/>
      <c r="I182" s="232"/>
      <c r="J182" s="945"/>
    </row>
    <row r="183" spans="1:10" ht="44" customHeight="1" thickBot="1">
      <c r="A183" s="41">
        <v>16</v>
      </c>
      <c r="B183" s="207" t="s">
        <v>1035</v>
      </c>
      <c r="C183" s="185" t="s">
        <v>2916</v>
      </c>
      <c r="D183" s="208" t="s">
        <v>2865</v>
      </c>
      <c r="E183" s="209">
        <v>14728</v>
      </c>
      <c r="F183" s="210" t="s">
        <v>13</v>
      </c>
      <c r="G183" s="210">
        <v>9810795091</v>
      </c>
      <c r="H183" s="185"/>
      <c r="I183" s="232"/>
      <c r="J183" s="945"/>
    </row>
    <row r="184" spans="1:10" ht="35.15" customHeight="1">
      <c r="A184" s="252"/>
      <c r="B184" s="253"/>
      <c r="C184" s="253"/>
      <c r="D184" s="253"/>
      <c r="E184" s="253"/>
      <c r="F184" s="253"/>
      <c r="G184" s="253"/>
      <c r="H184" s="253"/>
      <c r="I184" s="255"/>
    </row>
    <row r="185" spans="1:10" ht="38" customHeight="1">
      <c r="A185" s="8"/>
      <c r="B185" s="44"/>
      <c r="C185" s="44"/>
      <c r="D185" s="44"/>
      <c r="E185" s="44"/>
      <c r="F185" s="44"/>
      <c r="G185" s="44"/>
      <c r="H185" s="44"/>
      <c r="I185" s="251"/>
    </row>
    <row r="186" spans="1:10" ht="35.15" customHeight="1" thickBot="1">
      <c r="A186" s="8"/>
      <c r="B186" s="44"/>
      <c r="C186" s="44"/>
      <c r="D186" s="44"/>
      <c r="E186" s="44"/>
      <c r="F186" s="44"/>
      <c r="G186" s="44"/>
      <c r="H186" s="44"/>
      <c r="I186" s="251"/>
    </row>
    <row r="187" spans="1:10" ht="35.15" customHeight="1" thickBot="1">
      <c r="A187" s="444" t="s">
        <v>2</v>
      </c>
      <c r="B187" s="205" t="s">
        <v>3</v>
      </c>
      <c r="C187" s="205" t="s">
        <v>4</v>
      </c>
      <c r="D187" s="206" t="s">
        <v>5</v>
      </c>
      <c r="E187" s="205" t="s">
        <v>6</v>
      </c>
      <c r="F187" s="205" t="s">
        <v>7</v>
      </c>
      <c r="G187" s="205" t="s">
        <v>8</v>
      </c>
      <c r="H187" s="205" t="s">
        <v>9</v>
      </c>
      <c r="I187" s="231" t="s">
        <v>10</v>
      </c>
      <c r="J187" s="851">
        <v>8</v>
      </c>
    </row>
    <row r="188" spans="1:10" ht="35" customHeight="1" thickBot="1">
      <c r="A188" s="446"/>
      <c r="B188" s="219"/>
      <c r="C188" s="219"/>
      <c r="D188" s="219" t="s">
        <v>291</v>
      </c>
      <c r="E188" s="219"/>
      <c r="F188" s="219"/>
      <c r="G188" s="219"/>
      <c r="H188" s="219"/>
      <c r="I188" s="234"/>
    </row>
    <row r="189" spans="1:10" ht="50.15" customHeight="1">
      <c r="A189" s="13">
        <v>1</v>
      </c>
      <c r="B189" s="20" t="s">
        <v>1041</v>
      </c>
      <c r="C189" s="14" t="s">
        <v>2971</v>
      </c>
      <c r="D189" s="15" t="s">
        <v>2972</v>
      </c>
      <c r="E189" s="16">
        <v>94398</v>
      </c>
      <c r="F189" s="17" t="s">
        <v>69</v>
      </c>
      <c r="G189" s="35">
        <v>9871918804</v>
      </c>
      <c r="H189" s="14"/>
      <c r="I189" s="40"/>
      <c r="J189" s="945"/>
    </row>
    <row r="190" spans="1:10" ht="50.15" customHeight="1">
      <c r="A190" s="13">
        <v>2</v>
      </c>
      <c r="B190" s="20" t="s">
        <v>1042</v>
      </c>
      <c r="C190" s="14" t="s">
        <v>2878</v>
      </c>
      <c r="D190" s="15" t="s">
        <v>2879</v>
      </c>
      <c r="E190" s="16">
        <v>61010</v>
      </c>
      <c r="F190" s="17" t="s">
        <v>13</v>
      </c>
      <c r="G190" s="35">
        <v>9810735352</v>
      </c>
      <c r="H190" s="14" t="s">
        <v>2772</v>
      </c>
      <c r="I190" s="40"/>
      <c r="J190" s="945"/>
    </row>
    <row r="191" spans="1:10" ht="50.15" customHeight="1">
      <c r="A191" s="13">
        <v>3</v>
      </c>
      <c r="B191" s="20" t="s">
        <v>2893</v>
      </c>
      <c r="C191" s="14" t="s">
        <v>2894</v>
      </c>
      <c r="D191" s="15" t="s">
        <v>2892</v>
      </c>
      <c r="E191" s="16">
        <v>62294</v>
      </c>
      <c r="F191" s="17" t="s">
        <v>13</v>
      </c>
      <c r="G191" s="35">
        <v>7834848343</v>
      </c>
      <c r="H191" s="14"/>
      <c r="I191" s="40"/>
      <c r="J191" s="945"/>
    </row>
    <row r="192" spans="1:10" ht="50.15" customHeight="1">
      <c r="A192" s="13">
        <v>4</v>
      </c>
      <c r="B192" s="20" t="s">
        <v>2920</v>
      </c>
      <c r="C192" s="14" t="s">
        <v>2918</v>
      </c>
      <c r="D192" s="15" t="s">
        <v>2919</v>
      </c>
      <c r="E192" s="16">
        <v>26193</v>
      </c>
      <c r="F192" s="17" t="s">
        <v>13</v>
      </c>
      <c r="G192" s="35">
        <v>9871384904</v>
      </c>
      <c r="H192" s="14"/>
      <c r="I192" s="40"/>
      <c r="J192" s="945"/>
    </row>
    <row r="193" spans="1:10" ht="50.15" customHeight="1">
      <c r="A193" s="13">
        <v>5</v>
      </c>
      <c r="B193" s="20" t="s">
        <v>2963</v>
      </c>
      <c r="C193" s="14" t="s">
        <v>2973</v>
      </c>
      <c r="D193" s="15" t="s">
        <v>2966</v>
      </c>
      <c r="E193" s="16">
        <v>32559</v>
      </c>
      <c r="F193" s="17" t="s">
        <v>2974</v>
      </c>
      <c r="G193" s="35">
        <v>4486</v>
      </c>
      <c r="H193" s="14" t="s">
        <v>855</v>
      </c>
      <c r="I193" s="582"/>
      <c r="J193" s="945"/>
    </row>
    <row r="194" spans="1:10" ht="50.15" customHeight="1">
      <c r="A194" s="13">
        <v>6</v>
      </c>
      <c r="B194" s="20" t="s">
        <v>1045</v>
      </c>
      <c r="C194" s="14" t="s">
        <v>1046</v>
      </c>
      <c r="D194" s="15" t="s">
        <v>1047</v>
      </c>
      <c r="E194" s="16">
        <v>144259</v>
      </c>
      <c r="F194" s="35" t="s">
        <v>2280</v>
      </c>
      <c r="G194" s="35">
        <v>9999600554</v>
      </c>
      <c r="H194" s="14"/>
      <c r="I194" s="40"/>
    </row>
    <row r="195" spans="1:10" ht="50.15" customHeight="1">
      <c r="A195" s="13">
        <v>7</v>
      </c>
      <c r="B195" s="20" t="s">
        <v>1048</v>
      </c>
      <c r="C195" s="14" t="s">
        <v>2982</v>
      </c>
      <c r="D195" s="15" t="s">
        <v>2983</v>
      </c>
      <c r="E195" s="16">
        <v>50692</v>
      </c>
      <c r="F195" s="35" t="s">
        <v>13</v>
      </c>
      <c r="G195" s="35">
        <v>9717752135</v>
      </c>
      <c r="H195" s="14" t="s">
        <v>2833</v>
      </c>
      <c r="I195" s="40"/>
    </row>
    <row r="196" spans="1:10" ht="50.15" customHeight="1">
      <c r="A196" s="13">
        <v>8</v>
      </c>
      <c r="B196" s="20" t="s">
        <v>3030</v>
      </c>
      <c r="C196" s="14" t="s">
        <v>3031</v>
      </c>
      <c r="D196" s="15" t="s">
        <v>3029</v>
      </c>
      <c r="E196" s="16">
        <v>15644</v>
      </c>
      <c r="F196" s="35" t="s">
        <v>13</v>
      </c>
      <c r="G196" s="35">
        <v>8586824663</v>
      </c>
      <c r="H196" s="14"/>
      <c r="I196" s="40"/>
    </row>
    <row r="197" spans="1:10" ht="50.15" customHeight="1">
      <c r="A197" s="13">
        <v>9</v>
      </c>
      <c r="B197" s="20" t="s">
        <v>3019</v>
      </c>
      <c r="C197" s="20" t="s">
        <v>1052</v>
      </c>
      <c r="D197" s="35" t="s">
        <v>3020</v>
      </c>
      <c r="E197" s="16">
        <v>20624</v>
      </c>
      <c r="F197" s="17" t="s">
        <v>17</v>
      </c>
      <c r="G197" s="1043">
        <v>9899559225</v>
      </c>
      <c r="H197" s="14"/>
      <c r="I197" s="582"/>
      <c r="J197" s="945"/>
    </row>
    <row r="198" spans="1:10" ht="50.15" customHeight="1" thickBot="1">
      <c r="A198" s="452">
        <v>10</v>
      </c>
      <c r="B198" s="546" t="s">
        <v>2364</v>
      </c>
      <c r="C198" s="546" t="s">
        <v>3027</v>
      </c>
      <c r="D198" s="324" t="s">
        <v>3020</v>
      </c>
      <c r="E198" s="371">
        <v>21544</v>
      </c>
      <c r="F198" s="364" t="s">
        <v>17</v>
      </c>
      <c r="G198" s="1044"/>
      <c r="H198" s="454"/>
      <c r="I198" s="648"/>
      <c r="J198" s="945"/>
    </row>
    <row r="199" spans="1:10" ht="30" customHeight="1"/>
    <row r="200" spans="1:10" ht="30" customHeight="1"/>
    <row r="201" spans="1:10" ht="30" customHeight="1"/>
    <row r="202" spans="1:10" ht="30" customHeight="1"/>
    <row r="203" spans="1:10" s="3" customFormat="1" ht="30" customHeight="1">
      <c r="A203" s="8"/>
      <c r="B203" s="259"/>
      <c r="C203" s="259"/>
      <c r="D203" s="259"/>
      <c r="E203" s="259"/>
      <c r="F203" s="259"/>
      <c r="G203" s="259"/>
      <c r="H203" s="259"/>
      <c r="I203" s="259"/>
      <c r="J203" s="851"/>
    </row>
    <row r="204" spans="1:10" s="3" customFormat="1" ht="30" customHeight="1">
      <c r="A204" s="8"/>
      <c r="B204" s="259"/>
      <c r="C204" s="259"/>
      <c r="D204" s="259"/>
      <c r="E204" s="259"/>
      <c r="F204" s="259"/>
      <c r="G204" s="259"/>
      <c r="H204" s="259"/>
      <c r="I204" s="259"/>
      <c r="J204" s="851"/>
    </row>
    <row r="205" spans="1:10" s="3" customFormat="1" ht="30" customHeight="1">
      <c r="A205" s="8"/>
      <c r="B205" s="259"/>
      <c r="C205" s="259"/>
      <c r="D205" s="259"/>
      <c r="E205" s="259"/>
      <c r="F205" s="259"/>
      <c r="G205" s="259"/>
      <c r="H205" s="259"/>
      <c r="I205" s="259"/>
      <c r="J205" s="851"/>
    </row>
    <row r="206" spans="1:10" s="3" customFormat="1" ht="30" customHeight="1">
      <c r="A206" s="8"/>
      <c r="B206" s="259"/>
      <c r="C206" s="259"/>
      <c r="D206" s="259"/>
      <c r="E206" s="259"/>
      <c r="F206" s="259"/>
      <c r="G206" s="259"/>
      <c r="H206" s="259"/>
      <c r="I206" s="259"/>
      <c r="J206" s="851"/>
    </row>
    <row r="207" spans="1:10" s="3" customFormat="1" ht="30" customHeight="1">
      <c r="A207" s="8"/>
      <c r="B207" s="259"/>
      <c r="C207" s="259"/>
      <c r="D207" s="259"/>
      <c r="E207" s="259"/>
      <c r="F207" s="259"/>
      <c r="G207" s="259"/>
      <c r="H207" s="259"/>
      <c r="I207" s="260"/>
      <c r="J207" s="851"/>
    </row>
    <row r="208" spans="1:10" s="3" customFormat="1" ht="30" customHeight="1" thickBot="1">
      <c r="A208" s="8"/>
      <c r="B208" s="259"/>
      <c r="C208" s="259"/>
      <c r="D208" s="259"/>
      <c r="E208" s="259"/>
      <c r="F208" s="259"/>
      <c r="G208" s="259"/>
      <c r="H208" s="259"/>
      <c r="I208" s="260"/>
      <c r="J208" s="851"/>
    </row>
    <row r="209" spans="1:10" ht="30" customHeight="1" thickBot="1">
      <c r="A209" s="444" t="s">
        <v>2</v>
      </c>
      <c r="B209" s="205" t="s">
        <v>3</v>
      </c>
      <c r="C209" s="205" t="s">
        <v>4</v>
      </c>
      <c r="D209" s="206" t="s">
        <v>5</v>
      </c>
      <c r="E209" s="205" t="s">
        <v>6</v>
      </c>
      <c r="F209" s="205" t="s">
        <v>7</v>
      </c>
      <c r="G209" s="205" t="s">
        <v>8</v>
      </c>
      <c r="H209" s="205" t="s">
        <v>9</v>
      </c>
      <c r="I209" s="231" t="s">
        <v>10</v>
      </c>
      <c r="J209" s="851">
        <v>9</v>
      </c>
    </row>
    <row r="210" spans="1:10" ht="30" customHeight="1" thickBot="1">
      <c r="A210" s="446"/>
      <c r="B210" s="219"/>
      <c r="C210" s="219"/>
      <c r="D210" s="219" t="s">
        <v>307</v>
      </c>
      <c r="E210" s="219"/>
      <c r="F210" s="219"/>
      <c r="G210" s="219"/>
      <c r="H210" s="219"/>
      <c r="I210" s="234"/>
    </row>
    <row r="211" spans="1:10" ht="45" customHeight="1">
      <c r="A211" s="41">
        <v>1</v>
      </c>
      <c r="B211" s="656" t="s">
        <v>1053</v>
      </c>
      <c r="C211" s="182" t="s">
        <v>3054</v>
      </c>
      <c r="D211" s="213" t="s">
        <v>3053</v>
      </c>
      <c r="E211" s="221">
        <v>13029</v>
      </c>
      <c r="F211" s="211" t="s">
        <v>13</v>
      </c>
      <c r="G211" s="1041">
        <v>469</v>
      </c>
      <c r="H211" s="1066" t="s">
        <v>855</v>
      </c>
      <c r="I211" s="1063"/>
      <c r="J211" s="945"/>
    </row>
    <row r="212" spans="1:10" ht="45" customHeight="1">
      <c r="A212" s="41">
        <v>2</v>
      </c>
      <c r="B212" s="656" t="s">
        <v>1053</v>
      </c>
      <c r="C212" s="185" t="s">
        <v>3055</v>
      </c>
      <c r="D212" s="215" t="s">
        <v>3053</v>
      </c>
      <c r="E212" s="209">
        <v>810</v>
      </c>
      <c r="F212" s="210" t="s">
        <v>865</v>
      </c>
      <c r="G212" s="1036"/>
      <c r="H212" s="1051"/>
      <c r="I212" s="1062"/>
      <c r="J212" s="945"/>
    </row>
    <row r="213" spans="1:10" ht="45" customHeight="1">
      <c r="A213" s="41">
        <v>3</v>
      </c>
      <c r="B213" s="207" t="s">
        <v>3083</v>
      </c>
      <c r="C213" s="207" t="s">
        <v>3082</v>
      </c>
      <c r="D213" s="210" t="s">
        <v>3021</v>
      </c>
      <c r="E213" s="209">
        <v>33588</v>
      </c>
      <c r="F213" s="210" t="s">
        <v>99</v>
      </c>
      <c r="G213" s="215">
        <v>9588776014</v>
      </c>
      <c r="H213" s="185"/>
      <c r="I213" s="232"/>
      <c r="J213" s="945"/>
    </row>
    <row r="214" spans="1:10" ht="45" customHeight="1">
      <c r="A214" s="41">
        <v>4</v>
      </c>
      <c r="B214" s="207" t="s">
        <v>3089</v>
      </c>
      <c r="C214" s="207" t="s">
        <v>3153</v>
      </c>
      <c r="D214" s="210" t="s">
        <v>2998</v>
      </c>
      <c r="E214" s="209">
        <v>12798</v>
      </c>
      <c r="F214" s="210" t="s">
        <v>13</v>
      </c>
      <c r="G214" s="215">
        <v>8031</v>
      </c>
      <c r="H214" s="185" t="s">
        <v>3090</v>
      </c>
      <c r="I214" s="232"/>
      <c r="J214" s="945"/>
    </row>
    <row r="215" spans="1:10" ht="45" customHeight="1">
      <c r="A215" s="41">
        <v>5</v>
      </c>
      <c r="B215" s="207" t="s">
        <v>1057</v>
      </c>
      <c r="C215" s="207" t="s">
        <v>3045</v>
      </c>
      <c r="D215" s="210" t="s">
        <v>3046</v>
      </c>
      <c r="E215" s="209">
        <v>1531</v>
      </c>
      <c r="F215" s="210" t="s">
        <v>865</v>
      </c>
      <c r="G215" s="215">
        <v>9990170629</v>
      </c>
      <c r="H215" s="185" t="s">
        <v>1058</v>
      </c>
      <c r="I215" s="232"/>
      <c r="J215" s="945"/>
    </row>
    <row r="216" spans="1:10" ht="45" customHeight="1">
      <c r="A216" s="41">
        <v>6</v>
      </c>
      <c r="B216" s="207" t="s">
        <v>1059</v>
      </c>
      <c r="C216" s="207" t="s">
        <v>3026</v>
      </c>
      <c r="D216" s="210" t="s">
        <v>2998</v>
      </c>
      <c r="E216" s="209">
        <v>31782</v>
      </c>
      <c r="F216" s="210" t="s">
        <v>13</v>
      </c>
      <c r="G216" s="223">
        <v>9980</v>
      </c>
      <c r="H216" s="185" t="s">
        <v>140</v>
      </c>
      <c r="I216" s="232"/>
      <c r="J216" s="945"/>
    </row>
    <row r="217" spans="1:10" ht="45" customHeight="1">
      <c r="A217" s="41">
        <v>7</v>
      </c>
      <c r="B217" s="207" t="s">
        <v>1060</v>
      </c>
      <c r="C217" s="207" t="s">
        <v>2997</v>
      </c>
      <c r="D217" s="210" t="s">
        <v>2998</v>
      </c>
      <c r="E217" s="209">
        <v>2445</v>
      </c>
      <c r="F217" s="210" t="s">
        <v>21</v>
      </c>
      <c r="G217" s="223">
        <v>8851556487</v>
      </c>
      <c r="H217" s="186" t="s">
        <v>1061</v>
      </c>
      <c r="I217" s="232"/>
      <c r="J217" s="945"/>
    </row>
    <row r="218" spans="1:10" ht="45" customHeight="1">
      <c r="A218" s="41">
        <v>8</v>
      </c>
      <c r="B218" s="207" t="s">
        <v>1062</v>
      </c>
      <c r="C218" s="207" t="s">
        <v>3032</v>
      </c>
      <c r="D218" s="210" t="s">
        <v>3033</v>
      </c>
      <c r="E218" s="209">
        <v>11908</v>
      </c>
      <c r="F218" s="210" t="s">
        <v>13</v>
      </c>
      <c r="G218" s="223">
        <v>9968250305</v>
      </c>
      <c r="H218" s="186"/>
      <c r="I218" s="232"/>
      <c r="J218" s="945"/>
    </row>
    <row r="219" spans="1:10" ht="45" customHeight="1">
      <c r="A219" s="41">
        <v>9</v>
      </c>
      <c r="B219" s="207" t="s">
        <v>1063</v>
      </c>
      <c r="C219" s="207" t="s">
        <v>3154</v>
      </c>
      <c r="D219" s="210" t="s">
        <v>814</v>
      </c>
      <c r="E219" s="209">
        <v>24802</v>
      </c>
      <c r="F219" s="210" t="s">
        <v>13</v>
      </c>
      <c r="G219" s="210">
        <v>9212302324</v>
      </c>
      <c r="H219" s="186" t="s">
        <v>1064</v>
      </c>
      <c r="I219" s="232"/>
      <c r="J219" s="945"/>
    </row>
    <row r="220" spans="1:10" ht="45" customHeight="1">
      <c r="A220" s="41">
        <v>10</v>
      </c>
      <c r="B220" s="207" t="s">
        <v>1065</v>
      </c>
      <c r="C220" s="185" t="s">
        <v>1066</v>
      </c>
      <c r="D220" s="215" t="s">
        <v>1067</v>
      </c>
      <c r="E220" s="209">
        <v>9490</v>
      </c>
      <c r="F220" s="210" t="s">
        <v>1068</v>
      </c>
      <c r="G220" s="258">
        <v>9654782398</v>
      </c>
      <c r="H220" s="185"/>
      <c r="I220" s="232"/>
      <c r="J220" s="945"/>
    </row>
    <row r="221" spans="1:10" ht="45" customHeight="1">
      <c r="A221" s="41">
        <v>11</v>
      </c>
      <c r="B221" s="207" t="s">
        <v>1069</v>
      </c>
      <c r="C221" s="185" t="s">
        <v>1070</v>
      </c>
      <c r="D221" s="215" t="s">
        <v>1067</v>
      </c>
      <c r="E221" s="209">
        <v>9490</v>
      </c>
      <c r="F221" s="210" t="s">
        <v>1068</v>
      </c>
      <c r="G221" s="258">
        <v>9350514098</v>
      </c>
      <c r="H221" s="185"/>
      <c r="I221" s="751"/>
      <c r="J221" s="945"/>
    </row>
    <row r="222" spans="1:10" ht="45" customHeight="1">
      <c r="A222" s="41">
        <v>12</v>
      </c>
      <c r="B222" s="207" t="s">
        <v>1071</v>
      </c>
      <c r="C222" s="185" t="s">
        <v>1072</v>
      </c>
      <c r="D222" s="215" t="s">
        <v>1073</v>
      </c>
      <c r="E222" s="209">
        <v>8410</v>
      </c>
      <c r="F222" s="210" t="s">
        <v>1074</v>
      </c>
      <c r="G222" s="258">
        <v>9313561907</v>
      </c>
      <c r="H222" s="185"/>
      <c r="I222" s="751"/>
      <c r="J222" s="945"/>
    </row>
    <row r="223" spans="1:10" ht="45" customHeight="1">
      <c r="A223" s="41">
        <v>13</v>
      </c>
      <c r="B223" s="207" t="s">
        <v>1078</v>
      </c>
      <c r="C223" s="185" t="s">
        <v>3231</v>
      </c>
      <c r="D223" s="215" t="s">
        <v>3232</v>
      </c>
      <c r="E223" s="209">
        <v>56422</v>
      </c>
      <c r="F223" s="210" t="s">
        <v>13</v>
      </c>
      <c r="G223" s="258">
        <v>6956</v>
      </c>
      <c r="H223" s="185" t="s">
        <v>903</v>
      </c>
      <c r="I223" s="751"/>
      <c r="J223" s="945"/>
    </row>
    <row r="224" spans="1:10" ht="45" customHeight="1" thickBot="1">
      <c r="A224" s="447">
        <v>14</v>
      </c>
      <c r="B224" s="216" t="s">
        <v>3268</v>
      </c>
      <c r="C224" s="183" t="s">
        <v>3265</v>
      </c>
      <c r="D224" s="245" t="s">
        <v>3266</v>
      </c>
      <c r="E224" s="218">
        <v>15366</v>
      </c>
      <c r="F224" s="244" t="s">
        <v>3267</v>
      </c>
      <c r="G224" s="364">
        <v>9810065239</v>
      </c>
      <c r="H224" s="183" t="s">
        <v>3269</v>
      </c>
      <c r="I224" s="193"/>
      <c r="J224" s="945"/>
    </row>
    <row r="225" spans="1:10" s="3" customFormat="1" ht="28" customHeight="1">
      <c r="A225" s="8"/>
      <c r="B225" s="259"/>
      <c r="C225" s="259"/>
      <c r="D225" s="259"/>
      <c r="E225" s="259"/>
      <c r="F225" s="259"/>
      <c r="G225" s="259"/>
      <c r="H225" s="259"/>
      <c r="I225" s="260"/>
      <c r="J225" s="945"/>
    </row>
    <row r="226" spans="1:10" s="3" customFormat="1" ht="28" customHeight="1">
      <c r="A226" s="8"/>
      <c r="B226" s="259"/>
      <c r="C226" s="259"/>
      <c r="D226" s="259"/>
      <c r="E226" s="259"/>
      <c r="F226" s="259"/>
      <c r="G226" s="259"/>
      <c r="H226" s="259"/>
      <c r="I226" s="260"/>
      <c r="J226" s="945"/>
    </row>
    <row r="227" spans="1:10" s="3" customFormat="1" ht="28" customHeight="1">
      <c r="A227" s="8"/>
      <c r="B227" s="259"/>
      <c r="C227" s="259"/>
      <c r="D227" s="259"/>
      <c r="E227" s="259"/>
      <c r="F227" s="259"/>
      <c r="G227" s="259"/>
      <c r="H227" s="259"/>
      <c r="I227" s="260"/>
      <c r="J227" s="945"/>
    </row>
    <row r="228" spans="1:10" s="3" customFormat="1" ht="28" customHeight="1">
      <c r="A228" s="8"/>
      <c r="B228" s="259"/>
      <c r="C228" s="259"/>
      <c r="D228" s="259"/>
      <c r="E228" s="259"/>
      <c r="F228" s="259"/>
      <c r="G228" s="259"/>
      <c r="H228" s="259"/>
      <c r="I228" s="260"/>
      <c r="J228" s="851"/>
    </row>
    <row r="229" spans="1:10" s="3" customFormat="1" ht="28" customHeight="1">
      <c r="A229" s="8"/>
      <c r="B229" s="259"/>
      <c r="C229" s="259"/>
      <c r="D229" s="259"/>
      <c r="E229" s="259"/>
      <c r="F229" s="259"/>
      <c r="G229" s="259"/>
      <c r="H229" s="259"/>
      <c r="I229" s="260"/>
      <c r="J229" s="851"/>
    </row>
    <row r="230" spans="1:10" s="3" customFormat="1" ht="28" customHeight="1">
      <c r="A230" s="8"/>
      <c r="B230" s="259"/>
      <c r="C230" s="259"/>
      <c r="D230" s="259"/>
      <c r="E230" s="259"/>
      <c r="F230" s="259"/>
      <c r="G230" s="259"/>
      <c r="H230" s="259"/>
      <c r="I230" s="260"/>
      <c r="J230" s="851"/>
    </row>
    <row r="231" spans="1:10" s="3" customFormat="1" ht="28" customHeight="1" thickBot="1">
      <c r="A231" s="8"/>
      <c r="B231" s="259"/>
      <c r="C231" s="259"/>
      <c r="D231" s="259"/>
      <c r="E231" s="259"/>
      <c r="F231" s="259"/>
      <c r="G231" s="259"/>
      <c r="H231" s="259"/>
      <c r="I231" s="260"/>
      <c r="J231" s="851"/>
    </row>
    <row r="232" spans="1:10" ht="30" customHeight="1" thickBot="1">
      <c r="A232" s="444" t="s">
        <v>2</v>
      </c>
      <c r="B232" s="205" t="s">
        <v>3</v>
      </c>
      <c r="C232" s="205" t="s">
        <v>4</v>
      </c>
      <c r="D232" s="206" t="s">
        <v>5</v>
      </c>
      <c r="E232" s="205" t="s">
        <v>6</v>
      </c>
      <c r="F232" s="205" t="s">
        <v>7</v>
      </c>
      <c r="G232" s="205" t="s">
        <v>8</v>
      </c>
      <c r="H232" s="205" t="s">
        <v>9</v>
      </c>
      <c r="I232" s="231" t="s">
        <v>10</v>
      </c>
      <c r="J232" s="851">
        <v>10</v>
      </c>
    </row>
    <row r="233" spans="1:10" ht="24" customHeight="1" thickBot="1">
      <c r="A233" s="446"/>
      <c r="B233" s="219"/>
      <c r="C233" s="219"/>
      <c r="D233" s="219" t="s">
        <v>339</v>
      </c>
      <c r="E233" s="219"/>
      <c r="F233" s="219"/>
      <c r="G233" s="219"/>
      <c r="H233" s="219"/>
      <c r="I233" s="234"/>
    </row>
    <row r="234" spans="1:10" ht="35.15" customHeight="1">
      <c r="A234" s="43">
        <v>1</v>
      </c>
      <c r="B234" s="207" t="s">
        <v>1071</v>
      </c>
      <c r="C234" s="185" t="s">
        <v>1079</v>
      </c>
      <c r="D234" s="215" t="s">
        <v>1080</v>
      </c>
      <c r="E234" s="209">
        <v>18901</v>
      </c>
      <c r="F234" s="210" t="s">
        <v>865</v>
      </c>
      <c r="G234" s="210">
        <v>9313561907</v>
      </c>
      <c r="H234" s="1049"/>
      <c r="I234" s="1064"/>
    </row>
    <row r="235" spans="1:10" ht="35.15" customHeight="1">
      <c r="A235" s="43">
        <v>2</v>
      </c>
      <c r="B235" s="207" t="s">
        <v>1081</v>
      </c>
      <c r="C235" s="182" t="s">
        <v>1082</v>
      </c>
      <c r="D235" s="213" t="s">
        <v>1083</v>
      </c>
      <c r="E235" s="221">
        <v>169158</v>
      </c>
      <c r="F235" s="211" t="s">
        <v>13</v>
      </c>
      <c r="G235" s="211">
        <v>9313561907</v>
      </c>
      <c r="H235" s="1055"/>
      <c r="I235" s="1063"/>
    </row>
    <row r="236" spans="1:10" s="3" customFormat="1" ht="35" customHeight="1">
      <c r="A236" s="43">
        <v>3</v>
      </c>
      <c r="B236" s="207" t="s">
        <v>1084</v>
      </c>
      <c r="C236" s="182" t="s">
        <v>3184</v>
      </c>
      <c r="D236" s="213" t="s">
        <v>1083</v>
      </c>
      <c r="E236" s="221">
        <v>22544</v>
      </c>
      <c r="F236" s="211" t="s">
        <v>13</v>
      </c>
      <c r="G236" s="211">
        <v>9350514098</v>
      </c>
      <c r="H236" s="1055"/>
      <c r="I236" s="1063"/>
      <c r="J236" s="851"/>
    </row>
    <row r="237" spans="1:10" ht="35.15" customHeight="1">
      <c r="A237" s="43">
        <v>4</v>
      </c>
      <c r="B237" s="207" t="s">
        <v>1085</v>
      </c>
      <c r="C237" s="185" t="s">
        <v>3270</v>
      </c>
      <c r="D237" s="215" t="s">
        <v>3271</v>
      </c>
      <c r="E237" s="209">
        <v>24554</v>
      </c>
      <c r="F237" s="210" t="s">
        <v>13</v>
      </c>
      <c r="G237" s="210">
        <v>9654782398</v>
      </c>
      <c r="H237" s="1038"/>
      <c r="I237" s="1062"/>
      <c r="J237" s="945"/>
    </row>
    <row r="238" spans="1:10" ht="35.15" customHeight="1">
      <c r="A238" s="43">
        <v>5</v>
      </c>
      <c r="B238" s="207" t="s">
        <v>3303</v>
      </c>
      <c r="C238" s="185" t="s">
        <v>3305</v>
      </c>
      <c r="D238" s="215" t="s">
        <v>3304</v>
      </c>
      <c r="E238" s="209">
        <v>48265</v>
      </c>
      <c r="F238" s="210" t="s">
        <v>3306</v>
      </c>
      <c r="G238" s="739">
        <v>5000</v>
      </c>
      <c r="H238" s="213"/>
      <c r="I238" s="740"/>
      <c r="J238" s="945"/>
    </row>
    <row r="239" spans="1:10" ht="35.15" customHeight="1">
      <c r="A239" s="43">
        <v>6</v>
      </c>
      <c r="B239" s="207" t="s">
        <v>1086</v>
      </c>
      <c r="C239" s="185" t="s">
        <v>3361</v>
      </c>
      <c r="D239" s="215" t="s">
        <v>3362</v>
      </c>
      <c r="E239" s="209">
        <v>26186</v>
      </c>
      <c r="F239" s="215" t="s">
        <v>13</v>
      </c>
      <c r="G239" s="258">
        <v>9412658729</v>
      </c>
      <c r="H239" s="185"/>
      <c r="I239" s="232"/>
      <c r="J239" s="945"/>
    </row>
    <row r="240" spans="1:10" ht="35.15" customHeight="1">
      <c r="A240" s="43">
        <v>7</v>
      </c>
      <c r="B240" s="207" t="s">
        <v>3347</v>
      </c>
      <c r="C240" s="185" t="s">
        <v>3346</v>
      </c>
      <c r="D240" s="215" t="s">
        <v>3271</v>
      </c>
      <c r="E240" s="209">
        <v>3442</v>
      </c>
      <c r="F240" s="215" t="s">
        <v>887</v>
      </c>
      <c r="G240" s="258">
        <v>7394</v>
      </c>
      <c r="H240" s="185"/>
      <c r="I240" s="232"/>
      <c r="J240" s="945"/>
    </row>
    <row r="241" spans="1:10" ht="35" customHeight="1">
      <c r="A241" s="43">
        <v>8</v>
      </c>
      <c r="B241" s="207" t="s">
        <v>1088</v>
      </c>
      <c r="C241" s="185" t="s">
        <v>3228</v>
      </c>
      <c r="D241" s="215" t="s">
        <v>3229</v>
      </c>
      <c r="E241" s="209">
        <v>51105</v>
      </c>
      <c r="F241" s="215" t="s">
        <v>13</v>
      </c>
      <c r="G241" s="258">
        <v>9811680321</v>
      </c>
      <c r="H241" s="185"/>
      <c r="I241" s="232"/>
      <c r="J241" s="945"/>
    </row>
    <row r="242" spans="1:10" ht="35.15" customHeight="1">
      <c r="A242" s="43">
        <v>9</v>
      </c>
      <c r="B242" s="207" t="s">
        <v>3329</v>
      </c>
      <c r="C242" s="185" t="s">
        <v>3327</v>
      </c>
      <c r="D242" s="215" t="s">
        <v>3161</v>
      </c>
      <c r="E242" s="209">
        <v>29308</v>
      </c>
      <c r="F242" s="215" t="s">
        <v>3328</v>
      </c>
      <c r="G242" s="258">
        <v>8157</v>
      </c>
      <c r="H242" s="185" t="s">
        <v>2020</v>
      </c>
      <c r="I242" s="232"/>
      <c r="J242" s="945"/>
    </row>
    <row r="243" spans="1:10" ht="35.15" customHeight="1">
      <c r="A243" s="43">
        <v>10</v>
      </c>
      <c r="B243" s="207" t="s">
        <v>1060</v>
      </c>
      <c r="C243" s="185" t="s">
        <v>3324</v>
      </c>
      <c r="D243" s="215" t="s">
        <v>3325</v>
      </c>
      <c r="E243" s="209">
        <v>30563</v>
      </c>
      <c r="F243" s="215" t="s">
        <v>13</v>
      </c>
      <c r="G243" s="258">
        <v>8851556487</v>
      </c>
      <c r="H243" s="185" t="s">
        <v>1061</v>
      </c>
      <c r="I243" s="232"/>
      <c r="J243" s="945"/>
    </row>
    <row r="244" spans="1:10" ht="35.15" customHeight="1">
      <c r="A244" s="43">
        <v>11</v>
      </c>
      <c r="B244" s="207" t="s">
        <v>1089</v>
      </c>
      <c r="C244" s="185" t="s">
        <v>1090</v>
      </c>
      <c r="D244" s="215" t="s">
        <v>1091</v>
      </c>
      <c r="E244" s="209">
        <v>150439</v>
      </c>
      <c r="F244" s="210" t="s">
        <v>13</v>
      </c>
      <c r="G244" s="210">
        <v>9811321066</v>
      </c>
      <c r="H244" s="185"/>
      <c r="I244" s="232"/>
      <c r="J244" s="945"/>
    </row>
    <row r="245" spans="1:10" ht="35.15" customHeight="1">
      <c r="A245" s="43">
        <v>12</v>
      </c>
      <c r="B245" s="207" t="s">
        <v>1092</v>
      </c>
      <c r="C245" s="185" t="s">
        <v>3349</v>
      </c>
      <c r="D245" s="215" t="s">
        <v>3348</v>
      </c>
      <c r="E245" s="209">
        <v>31573</v>
      </c>
      <c r="F245" s="210" t="s">
        <v>13</v>
      </c>
      <c r="G245" s="210">
        <v>9818353321</v>
      </c>
      <c r="H245" s="185"/>
      <c r="I245" s="232"/>
      <c r="J245" s="945"/>
    </row>
    <row r="246" spans="1:10" ht="35.15" customHeight="1">
      <c r="A246" s="43">
        <v>13</v>
      </c>
      <c r="B246" s="207" t="s">
        <v>1093</v>
      </c>
      <c r="C246" s="185" t="s">
        <v>3337</v>
      </c>
      <c r="D246" s="215" t="s">
        <v>3338</v>
      </c>
      <c r="E246" s="209">
        <v>24875</v>
      </c>
      <c r="F246" s="210" t="s">
        <v>13</v>
      </c>
      <c r="G246" s="210">
        <v>8810226013</v>
      </c>
      <c r="H246" s="185">
        <v>9899131028</v>
      </c>
      <c r="I246" s="232"/>
      <c r="J246" s="945"/>
    </row>
    <row r="247" spans="1:10" ht="35.15" customHeight="1">
      <c r="A247" s="43">
        <v>14</v>
      </c>
      <c r="B247" s="207" t="s">
        <v>1095</v>
      </c>
      <c r="C247" s="185" t="s">
        <v>3345</v>
      </c>
      <c r="D247" s="215" t="s">
        <v>3344</v>
      </c>
      <c r="E247" s="209">
        <v>155479</v>
      </c>
      <c r="F247" s="210" t="s">
        <v>13</v>
      </c>
      <c r="G247" s="210">
        <v>9540000214</v>
      </c>
      <c r="H247" s="185"/>
      <c r="I247" s="232"/>
      <c r="J247" s="945"/>
    </row>
    <row r="248" spans="1:10" ht="35.15" customHeight="1">
      <c r="A248" s="43">
        <v>15</v>
      </c>
      <c r="B248" s="207" t="s">
        <v>1096</v>
      </c>
      <c r="C248" s="185" t="s">
        <v>3287</v>
      </c>
      <c r="D248" s="215" t="s">
        <v>3286</v>
      </c>
      <c r="E248" s="209">
        <v>54337</v>
      </c>
      <c r="F248" s="210" t="s">
        <v>13</v>
      </c>
      <c r="G248" s="210">
        <v>9999981295</v>
      </c>
      <c r="H248" s="185"/>
      <c r="I248" s="232"/>
      <c r="J248" s="945"/>
    </row>
    <row r="249" spans="1:10" ht="35.15" customHeight="1">
      <c r="A249" s="43">
        <v>16</v>
      </c>
      <c r="B249" s="207" t="s">
        <v>3343</v>
      </c>
      <c r="C249" s="185" t="s">
        <v>3350</v>
      </c>
      <c r="D249" s="215" t="s">
        <v>3351</v>
      </c>
      <c r="E249" s="209">
        <v>73997</v>
      </c>
      <c r="F249" s="210" t="s">
        <v>13</v>
      </c>
      <c r="G249" s="215" t="s">
        <v>1097</v>
      </c>
      <c r="H249" s="185"/>
      <c r="I249" s="232"/>
      <c r="J249" s="945"/>
    </row>
    <row r="250" spans="1:10" ht="35.15" customHeight="1" thickBot="1">
      <c r="A250" s="43">
        <v>17</v>
      </c>
      <c r="B250" s="207" t="s">
        <v>1098</v>
      </c>
      <c r="C250" s="185" t="s">
        <v>3382</v>
      </c>
      <c r="D250" s="215" t="s">
        <v>1083</v>
      </c>
      <c r="E250" s="209">
        <v>1763</v>
      </c>
      <c r="F250" s="210" t="s">
        <v>13</v>
      </c>
      <c r="G250" s="215">
        <v>7678673732</v>
      </c>
      <c r="H250" s="185"/>
      <c r="I250" s="232"/>
      <c r="J250" s="945"/>
    </row>
    <row r="251" spans="1:10" s="127" customFormat="1" ht="30" customHeight="1" thickBot="1">
      <c r="A251" s="449"/>
      <c r="B251" s="262">
        <f>A250+A224+A198+A183+A162+A149+A132+A116+A96+A82+A49+A29</f>
        <v>190</v>
      </c>
      <c r="C251" s="1034" t="s">
        <v>1099</v>
      </c>
      <c r="D251" s="1034">
        <f>E251/100000</f>
        <v>84.729910000000004</v>
      </c>
      <c r="E251" s="263">
        <f>SUM(E4:E250)</f>
        <v>8472991</v>
      </c>
      <c r="F251" s="264"/>
      <c r="G251" s="264"/>
      <c r="H251" s="264"/>
      <c r="I251" s="267"/>
      <c r="J251" s="851"/>
    </row>
    <row r="252" spans="1:10" s="64" customFormat="1" ht="30.75" customHeight="1">
      <c r="C252" s="265"/>
      <c r="D252" s="265"/>
      <c r="E252" s="79">
        <f>E251/100000</f>
        <v>84.729910000000004</v>
      </c>
      <c r="F252" s="266"/>
      <c r="G252" s="266"/>
      <c r="J252" s="851"/>
    </row>
    <row r="259" spans="6:7" ht="33.75" customHeight="1">
      <c r="F259" s="1"/>
      <c r="G259" s="1"/>
    </row>
    <row r="260" spans="6:7" ht="33.75" customHeight="1">
      <c r="F260" s="1"/>
      <c r="G260" s="1"/>
    </row>
    <row r="261" spans="6:7" ht="33.75" customHeight="1">
      <c r="F261" s="1"/>
      <c r="G261" s="1"/>
    </row>
    <row r="262" spans="6:7" ht="33.75" customHeight="1">
      <c r="F262" s="1"/>
      <c r="G262" s="1"/>
    </row>
    <row r="263" spans="6:7" ht="33.75" customHeight="1">
      <c r="F263" s="1"/>
      <c r="G263" s="1"/>
    </row>
    <row r="264" spans="6:7" ht="33.75" customHeight="1">
      <c r="F264" s="1"/>
      <c r="G264" s="1"/>
    </row>
    <row r="265" spans="6:7" ht="33.75" customHeight="1">
      <c r="F265" s="1"/>
      <c r="G265" s="1"/>
    </row>
    <row r="266" spans="6:7" ht="33.75" customHeight="1">
      <c r="F266" s="1"/>
      <c r="G266" s="1"/>
    </row>
    <row r="267" spans="6:7" ht="33.75" customHeight="1">
      <c r="F267" s="1"/>
      <c r="G267" s="1"/>
    </row>
    <row r="268" spans="6:7" ht="33.75" customHeight="1">
      <c r="F268" s="1"/>
      <c r="G268" s="1"/>
    </row>
    <row r="269" spans="6:7" ht="33.75" customHeight="1">
      <c r="F269" s="1"/>
      <c r="G269" s="1"/>
    </row>
    <row r="270" spans="6:7" ht="33.75" customHeight="1">
      <c r="F270" s="1"/>
      <c r="G270" s="1"/>
    </row>
  </sheetData>
  <mergeCells count="42">
    <mergeCell ref="H234:H237"/>
    <mergeCell ref="I56:I58"/>
    <mergeCell ref="I67:I68"/>
    <mergeCell ref="I69:I70"/>
    <mergeCell ref="I75:I76"/>
    <mergeCell ref="I156:I157"/>
    <mergeCell ref="I159:I160"/>
    <mergeCell ref="I211:I212"/>
    <mergeCell ref="I234:I237"/>
    <mergeCell ref="H128:H129"/>
    <mergeCell ref="H156:H157"/>
    <mergeCell ref="H159:H160"/>
    <mergeCell ref="H211:H212"/>
    <mergeCell ref="H119:H124"/>
    <mergeCell ref="H20:H21"/>
    <mergeCell ref="H56:H58"/>
    <mergeCell ref="H67:H68"/>
    <mergeCell ref="H69:H70"/>
    <mergeCell ref="H75:H76"/>
    <mergeCell ref="G197:G198"/>
    <mergeCell ref="G211:G212"/>
    <mergeCell ref="G91:G92"/>
    <mergeCell ref="G101:G102"/>
    <mergeCell ref="G104:G105"/>
    <mergeCell ref="G142:G143"/>
    <mergeCell ref="G179:G180"/>
    <mergeCell ref="A1:I1"/>
    <mergeCell ref="A2:I2"/>
    <mergeCell ref="C251:D251"/>
    <mergeCell ref="G7:G8"/>
    <mergeCell ref="G9:G10"/>
    <mergeCell ref="G20:G21"/>
    <mergeCell ref="G24:G25"/>
    <mergeCell ref="G56:G58"/>
    <mergeCell ref="G67:G68"/>
    <mergeCell ref="G69:G70"/>
    <mergeCell ref="G75:G76"/>
    <mergeCell ref="G87:G88"/>
    <mergeCell ref="G89:G90"/>
    <mergeCell ref="G128:G129"/>
    <mergeCell ref="G156:G157"/>
    <mergeCell ref="G159:G160"/>
  </mergeCells>
  <phoneticPr fontId="69" type="noConversion"/>
  <pageMargins left="0.24" right="0" top="0.21" bottom="0" header="0" footer="0"/>
  <pageSetup scale="65" orientation="landscape" horizontalDpi="4294967293" r:id="rId1"/>
  <ignoredErrors>
    <ignoredError sqref="G62 G146 G112 G61" numberStoredAsText="1"/>
    <ignoredError sqref="G86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9952"/>
  </sheetPr>
  <dimension ref="A1:AL104"/>
  <sheetViews>
    <sheetView topLeftCell="A95" zoomScale="85" zoomScaleNormal="85" workbookViewId="0">
      <selection activeCell="C120" sqref="A119:C120"/>
    </sheetView>
  </sheetViews>
  <sheetFormatPr defaultColWidth="9.1796875" defaultRowHeight="30" customHeight="1"/>
  <cols>
    <col min="1" max="1" width="4.90625" style="1" bestFit="1" customWidth="1"/>
    <col min="2" max="2" width="31.6328125" style="1" bestFit="1" customWidth="1"/>
    <col min="3" max="3" width="29.26953125" style="1" bestFit="1" customWidth="1"/>
    <col min="4" max="4" width="12.36328125" style="1" bestFit="1" customWidth="1"/>
    <col min="5" max="5" width="9.6328125" style="1" bestFit="1" customWidth="1"/>
    <col min="6" max="7" width="12.7265625" style="66" bestFit="1" customWidth="1"/>
    <col min="8" max="8" width="54.08984375" style="1" customWidth="1"/>
    <col min="9" max="9" width="6.54296875" style="53" customWidth="1"/>
    <col min="10" max="16384" width="9.1796875" style="1"/>
  </cols>
  <sheetData>
    <row r="1" spans="1:38" ht="25" customHeight="1" thickBot="1">
      <c r="A1" s="1142" t="s">
        <v>1100</v>
      </c>
      <c r="B1" s="1143"/>
      <c r="C1" s="1143"/>
      <c r="D1" s="1143"/>
      <c r="E1" s="754"/>
      <c r="F1" s="754"/>
      <c r="G1" s="754"/>
      <c r="H1" s="755"/>
      <c r="I1" s="851">
        <v>1</v>
      </c>
    </row>
    <row r="2" spans="1:38" ht="19.5" thickBot="1">
      <c r="A2" s="67"/>
      <c r="B2" s="68"/>
      <c r="C2" s="68"/>
      <c r="D2" s="68"/>
      <c r="E2" s="68"/>
      <c r="F2" s="68"/>
      <c r="G2" s="68"/>
      <c r="H2" s="80"/>
    </row>
    <row r="3" spans="1:38" ht="25" customHeight="1" thickBot="1">
      <c r="A3" s="663" t="s">
        <v>2</v>
      </c>
      <c r="B3" s="664" t="s">
        <v>3</v>
      </c>
      <c r="C3" s="664" t="s">
        <v>4</v>
      </c>
      <c r="D3" s="665" t="s">
        <v>5</v>
      </c>
      <c r="E3" s="664" t="s">
        <v>6</v>
      </c>
      <c r="F3" s="666" t="s">
        <v>7</v>
      </c>
      <c r="G3" s="664" t="s">
        <v>8</v>
      </c>
      <c r="H3" s="667" t="s">
        <v>10</v>
      </c>
    </row>
    <row r="4" spans="1:38" s="705" customFormat="1" ht="28.5" customHeight="1" thickBot="1">
      <c r="A4" s="1138"/>
      <c r="B4" s="1139"/>
      <c r="C4" s="1139"/>
      <c r="D4" s="704" t="s">
        <v>853</v>
      </c>
      <c r="E4" s="703"/>
      <c r="F4" s="1140"/>
      <c r="G4" s="1140"/>
      <c r="H4" s="1141"/>
      <c r="I4" s="852"/>
    </row>
    <row r="5" spans="1:38" s="63" customFormat="1" ht="28.5" customHeight="1">
      <c r="A5" s="19">
        <v>1</v>
      </c>
      <c r="B5" s="14" t="s">
        <v>3193</v>
      </c>
      <c r="C5" s="14" t="s">
        <v>3435</v>
      </c>
      <c r="D5" s="675" t="s">
        <v>3434</v>
      </c>
      <c r="E5" s="707">
        <v>7963</v>
      </c>
      <c r="F5" s="788" t="s">
        <v>3479</v>
      </c>
      <c r="G5" s="17"/>
      <c r="H5" s="25" t="s">
        <v>3193</v>
      </c>
      <c r="I5" s="53"/>
      <c r="J5" s="67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s="63" customFormat="1" ht="28.5" customHeight="1">
      <c r="A6" s="19">
        <v>2</v>
      </c>
      <c r="B6" s="14" t="s">
        <v>2262</v>
      </c>
      <c r="C6" s="14" t="s">
        <v>3436</v>
      </c>
      <c r="D6" s="675" t="s">
        <v>3434</v>
      </c>
      <c r="E6" s="707">
        <v>6134</v>
      </c>
      <c r="F6" s="788" t="s">
        <v>3479</v>
      </c>
      <c r="G6" s="17"/>
      <c r="H6" s="25" t="s">
        <v>2262</v>
      </c>
      <c r="I6" s="53"/>
      <c r="J6" s="67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3" customFormat="1" ht="28.5" customHeight="1">
      <c r="A7" s="19">
        <v>3</v>
      </c>
      <c r="B7" s="14" t="s">
        <v>3477</v>
      </c>
      <c r="C7" s="14" t="s">
        <v>3478</v>
      </c>
      <c r="D7" s="675" t="s">
        <v>3476</v>
      </c>
      <c r="E7" s="707">
        <v>23075</v>
      </c>
      <c r="F7" s="676" t="s">
        <v>21</v>
      </c>
      <c r="G7" s="17"/>
      <c r="H7" s="25" t="s">
        <v>428</v>
      </c>
      <c r="I7" s="53"/>
      <c r="J7" s="67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s="63" customFormat="1" ht="28.5" customHeight="1">
      <c r="A8" s="19">
        <v>4</v>
      </c>
      <c r="B8" s="14" t="s">
        <v>3498</v>
      </c>
      <c r="C8" s="14" t="s">
        <v>3499</v>
      </c>
      <c r="D8" s="675" t="s">
        <v>3476</v>
      </c>
      <c r="E8" s="707">
        <v>10040</v>
      </c>
      <c r="F8" s="676" t="s">
        <v>13</v>
      </c>
      <c r="G8" s="17"/>
      <c r="H8" s="25" t="s">
        <v>2262</v>
      </c>
      <c r="I8" s="53"/>
      <c r="J8" s="67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s="63" customFormat="1" ht="28.5" customHeight="1">
      <c r="A9" s="19">
        <v>5</v>
      </c>
      <c r="B9" s="14" t="s">
        <v>3500</v>
      </c>
      <c r="C9" s="14" t="s">
        <v>3501</v>
      </c>
      <c r="D9" s="675" t="s">
        <v>3476</v>
      </c>
      <c r="E9" s="707">
        <v>29623</v>
      </c>
      <c r="F9" s="676" t="s">
        <v>13</v>
      </c>
      <c r="G9" s="17"/>
      <c r="H9" s="25" t="s">
        <v>2262</v>
      </c>
      <c r="I9" s="53"/>
      <c r="J9" s="67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s="63" customFormat="1" ht="28.5" customHeight="1" thickBot="1">
      <c r="A10" s="19">
        <v>6</v>
      </c>
      <c r="B10" s="14" t="s">
        <v>3502</v>
      </c>
      <c r="C10" s="14" t="s">
        <v>3503</v>
      </c>
      <c r="D10" s="675" t="s">
        <v>3476</v>
      </c>
      <c r="E10" s="707">
        <v>18361</v>
      </c>
      <c r="F10" s="676" t="s">
        <v>13</v>
      </c>
      <c r="G10" s="17"/>
      <c r="H10" s="25" t="s">
        <v>2262</v>
      </c>
      <c r="I10" s="53"/>
      <c r="J10" s="67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s="705" customFormat="1" ht="28.5" customHeight="1" thickBot="1">
      <c r="A11" s="1138"/>
      <c r="B11" s="1139"/>
      <c r="C11" s="1139"/>
      <c r="D11" s="704" t="s">
        <v>3138</v>
      </c>
      <c r="E11" s="703"/>
      <c r="F11" s="1140"/>
      <c r="G11" s="1140"/>
      <c r="H11" s="1141"/>
      <c r="I11" s="852"/>
    </row>
    <row r="12" spans="1:38" s="63" customFormat="1" ht="28.5" customHeight="1">
      <c r="A12" s="93">
        <v>1</v>
      </c>
      <c r="B12" s="257" t="s">
        <v>3565</v>
      </c>
      <c r="C12" s="257" t="s">
        <v>3566</v>
      </c>
      <c r="D12" s="848" t="s">
        <v>3567</v>
      </c>
      <c r="E12" s="706">
        <v>63577</v>
      </c>
      <c r="F12" s="849" t="s">
        <v>69</v>
      </c>
      <c r="G12" s="672"/>
      <c r="H12" s="673" t="s">
        <v>2262</v>
      </c>
      <c r="I12" s="53"/>
      <c r="J12" s="67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s="63" customFormat="1" ht="28.5" customHeight="1">
      <c r="A13" s="19">
        <v>2</v>
      </c>
      <c r="B13" s="14" t="s">
        <v>3568</v>
      </c>
      <c r="C13" s="850" t="s">
        <v>3569</v>
      </c>
      <c r="D13" s="647"/>
      <c r="E13" s="707">
        <v>24958</v>
      </c>
      <c r="F13" s="24" t="s">
        <v>13</v>
      </c>
      <c r="G13" s="17"/>
      <c r="H13" s="25" t="s">
        <v>2262</v>
      </c>
      <c r="I13" s="53"/>
      <c r="J13" s="67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s="63" customFormat="1" ht="28.5" customHeight="1">
      <c r="A14" s="19">
        <v>3</v>
      </c>
      <c r="B14" s="14" t="s">
        <v>3571</v>
      </c>
      <c r="C14" s="14" t="s">
        <v>3572</v>
      </c>
      <c r="D14" s="22" t="s">
        <v>3570</v>
      </c>
      <c r="E14" s="707">
        <v>18436</v>
      </c>
      <c r="F14" s="24" t="s">
        <v>13</v>
      </c>
      <c r="G14" s="17"/>
      <c r="H14" s="25" t="s">
        <v>2951</v>
      </c>
      <c r="I14" s="53"/>
      <c r="J14" s="67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s="63" customFormat="1" ht="28.5" customHeight="1" thickBot="1">
      <c r="A15" s="19">
        <v>4</v>
      </c>
      <c r="B15" s="14" t="s">
        <v>1102</v>
      </c>
      <c r="C15" s="14" t="s">
        <v>3589</v>
      </c>
      <c r="D15" s="675" t="s">
        <v>3567</v>
      </c>
      <c r="E15" s="707">
        <v>12593</v>
      </c>
      <c r="F15" s="676" t="s">
        <v>13</v>
      </c>
      <c r="G15" s="17">
        <v>9717486552</v>
      </c>
      <c r="H15" s="25" t="s">
        <v>3590</v>
      </c>
      <c r="I15" s="53"/>
      <c r="J15" s="67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s="705" customFormat="1" ht="28.5" customHeight="1" thickBot="1">
      <c r="A16" s="1138"/>
      <c r="B16" s="1139"/>
      <c r="C16" s="1139"/>
      <c r="D16" s="704" t="s">
        <v>59</v>
      </c>
      <c r="E16" s="703"/>
      <c r="F16" s="1140"/>
      <c r="G16" s="1140"/>
      <c r="H16" s="1141"/>
      <c r="I16" s="852"/>
    </row>
    <row r="17" spans="1:38" s="677" customFormat="1" ht="28.5" customHeight="1">
      <c r="A17" s="1004">
        <v>1</v>
      </c>
      <c r="B17" s="573" t="s">
        <v>2270</v>
      </c>
      <c r="C17" s="573" t="s">
        <v>2269</v>
      </c>
      <c r="D17" s="1005" t="s">
        <v>3093</v>
      </c>
      <c r="E17" s="1006">
        <v>2105</v>
      </c>
      <c r="F17" s="1007" t="s">
        <v>2265</v>
      </c>
      <c r="G17" s="29"/>
      <c r="H17" s="1008" t="s">
        <v>2262</v>
      </c>
      <c r="I17" s="853"/>
      <c r="J17" s="100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s="63" customFormat="1" ht="28.5" customHeight="1" thickBot="1">
      <c r="A18" s="19">
        <v>2</v>
      </c>
      <c r="B18" s="14" t="s">
        <v>3850</v>
      </c>
      <c r="C18" s="14" t="s">
        <v>3848</v>
      </c>
      <c r="D18" s="22" t="s">
        <v>3851</v>
      </c>
      <c r="E18" s="707">
        <v>18690</v>
      </c>
      <c r="F18" s="24" t="s">
        <v>69</v>
      </c>
      <c r="G18" s="17"/>
      <c r="H18" s="25" t="s">
        <v>3849</v>
      </c>
      <c r="I18" s="53"/>
      <c r="J18" s="67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s="705" customFormat="1" ht="28.5" customHeight="1" thickBot="1">
      <c r="A19" s="1138"/>
      <c r="B19" s="1139"/>
      <c r="C19" s="1139"/>
      <c r="D19" s="704" t="s">
        <v>93</v>
      </c>
      <c r="E19" s="703"/>
      <c r="F19" s="1140"/>
      <c r="G19" s="1140"/>
      <c r="H19" s="1141"/>
      <c r="I19" s="852"/>
    </row>
    <row r="20" spans="1:38" s="677" customFormat="1" ht="28.5" customHeight="1" thickBot="1">
      <c r="A20" s="882">
        <v>1</v>
      </c>
      <c r="B20" s="880" t="s">
        <v>2264</v>
      </c>
      <c r="C20" s="880" t="s">
        <v>2267</v>
      </c>
      <c r="D20" s="883" t="s">
        <v>3094</v>
      </c>
      <c r="E20" s="881">
        <v>28426</v>
      </c>
      <c r="F20" s="884" t="s">
        <v>69</v>
      </c>
      <c r="G20" s="885"/>
      <c r="H20" s="886" t="s">
        <v>2262</v>
      </c>
      <c r="I20" s="85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s="705" customFormat="1" ht="28.5" customHeight="1" thickBot="1">
      <c r="A21" s="1138"/>
      <c r="B21" s="1139"/>
      <c r="C21" s="1139"/>
      <c r="D21" s="704" t="s">
        <v>103</v>
      </c>
      <c r="E21" s="703"/>
      <c r="F21" s="1140"/>
      <c r="G21" s="1140"/>
      <c r="H21" s="1141"/>
      <c r="I21" s="852"/>
    </row>
    <row r="22" spans="1:38" s="63" customFormat="1" ht="28.5" customHeight="1">
      <c r="A22" s="93">
        <v>1</v>
      </c>
      <c r="B22" s="668" t="s">
        <v>2261</v>
      </c>
      <c r="C22" s="669" t="s">
        <v>2268</v>
      </c>
      <c r="D22" s="670" t="s">
        <v>3095</v>
      </c>
      <c r="E22" s="706">
        <v>40472</v>
      </c>
      <c r="F22" s="671" t="s">
        <v>13</v>
      </c>
      <c r="G22" s="672"/>
      <c r="H22" s="673" t="s">
        <v>2262</v>
      </c>
      <c r="I22" s="53"/>
      <c r="J22" s="67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s="63" customFormat="1" ht="28.5" customHeight="1">
      <c r="A23" s="19">
        <v>2</v>
      </c>
      <c r="B23" s="20" t="s">
        <v>2263</v>
      </c>
      <c r="C23" s="21" t="s">
        <v>2271</v>
      </c>
      <c r="D23" s="675" t="s">
        <v>3095</v>
      </c>
      <c r="E23" s="707">
        <v>32201</v>
      </c>
      <c r="F23" s="676" t="s">
        <v>69</v>
      </c>
      <c r="G23" s="17"/>
      <c r="H23" s="25" t="s">
        <v>2262</v>
      </c>
      <c r="I23" s="5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s="63" customFormat="1" ht="28.5" customHeight="1">
      <c r="A24" s="19">
        <v>3</v>
      </c>
      <c r="B24" s="20" t="s">
        <v>2485</v>
      </c>
      <c r="C24" s="21" t="s">
        <v>2616</v>
      </c>
      <c r="D24" s="675" t="s">
        <v>103</v>
      </c>
      <c r="E24" s="707">
        <v>25671</v>
      </c>
      <c r="F24" s="676" t="s">
        <v>21</v>
      </c>
      <c r="G24" s="17"/>
      <c r="H24" s="25" t="s">
        <v>2579</v>
      </c>
      <c r="I24" s="5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s="63" customFormat="1" ht="28.5" customHeight="1">
      <c r="A25" s="19">
        <v>4</v>
      </c>
      <c r="B25" s="20" t="s">
        <v>2502</v>
      </c>
      <c r="C25" s="21" t="s">
        <v>2617</v>
      </c>
      <c r="D25" s="675" t="s">
        <v>103</v>
      </c>
      <c r="E25" s="707">
        <v>22778</v>
      </c>
      <c r="F25" s="676" t="s">
        <v>69</v>
      </c>
      <c r="G25" s="17"/>
      <c r="H25" s="25" t="s">
        <v>2579</v>
      </c>
      <c r="I25" s="5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s="677" customFormat="1" ht="28.5" customHeight="1">
      <c r="A26" s="19">
        <v>5</v>
      </c>
      <c r="B26" s="20" t="s">
        <v>2181</v>
      </c>
      <c r="C26" s="21" t="s">
        <v>1113</v>
      </c>
      <c r="D26" s="675" t="s">
        <v>3096</v>
      </c>
      <c r="E26" s="707">
        <v>66346</v>
      </c>
      <c r="F26" s="676" t="s">
        <v>13</v>
      </c>
      <c r="G26" s="17">
        <v>8287999593</v>
      </c>
      <c r="H26" s="25" t="s">
        <v>873</v>
      </c>
      <c r="I26" s="8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s="677" customFormat="1" ht="28.5" customHeight="1" thickBot="1">
      <c r="A27" s="678">
        <v>6</v>
      </c>
      <c r="B27" s="546" t="s">
        <v>2257</v>
      </c>
      <c r="C27" s="679" t="s">
        <v>2618</v>
      </c>
      <c r="D27" s="680" t="s">
        <v>3097</v>
      </c>
      <c r="E27" s="708">
        <v>24044</v>
      </c>
      <c r="F27" s="681" t="s">
        <v>13</v>
      </c>
      <c r="G27" s="364">
        <v>8587090289</v>
      </c>
      <c r="H27" s="682" t="s">
        <v>2467</v>
      </c>
      <c r="I27" s="8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5" customHeight="1" thickBot="1">
      <c r="A28" s="1142" t="s">
        <v>1100</v>
      </c>
      <c r="B28" s="1143"/>
      <c r="C28" s="1143"/>
      <c r="D28" s="1143"/>
      <c r="E28" s="754"/>
      <c r="F28" s="754"/>
      <c r="G28" s="754"/>
      <c r="H28" s="755"/>
      <c r="I28" s="851">
        <v>2</v>
      </c>
    </row>
    <row r="29" spans="1:38" ht="19.5" thickBot="1">
      <c r="A29" s="67"/>
      <c r="B29" s="68"/>
      <c r="C29" s="68"/>
      <c r="D29" s="68"/>
      <c r="E29" s="68"/>
      <c r="F29" s="68"/>
      <c r="G29" s="68"/>
      <c r="H29" s="80"/>
    </row>
    <row r="30" spans="1:38" ht="25" customHeight="1" thickBot="1">
      <c r="A30" s="663" t="s">
        <v>2</v>
      </c>
      <c r="B30" s="664" t="s">
        <v>3</v>
      </c>
      <c r="C30" s="664" t="s">
        <v>4</v>
      </c>
      <c r="D30" s="665" t="s">
        <v>5</v>
      </c>
      <c r="E30" s="664" t="s">
        <v>6</v>
      </c>
      <c r="F30" s="666" t="s">
        <v>7</v>
      </c>
      <c r="G30" s="664" t="s">
        <v>8</v>
      </c>
      <c r="H30" s="667" t="s">
        <v>10</v>
      </c>
    </row>
    <row r="31" spans="1:38" s="705" customFormat="1" ht="32.5" customHeight="1" thickBot="1">
      <c r="A31" s="1138"/>
      <c r="B31" s="1139"/>
      <c r="C31" s="1139"/>
      <c r="D31" s="704" t="s">
        <v>149</v>
      </c>
      <c r="E31" s="703"/>
      <c r="F31" s="1140"/>
      <c r="G31" s="1140"/>
      <c r="H31" s="1141"/>
      <c r="I31" s="852"/>
    </row>
    <row r="32" spans="1:38" s="63" customFormat="1" ht="32.5" customHeight="1">
      <c r="A32" s="93">
        <v>1</v>
      </c>
      <c r="B32" s="668" t="s">
        <v>1115</v>
      </c>
      <c r="C32" s="669" t="s">
        <v>1116</v>
      </c>
      <c r="D32" s="670" t="s">
        <v>3098</v>
      </c>
      <c r="E32" s="706">
        <v>93818</v>
      </c>
      <c r="F32" s="671" t="s">
        <v>69</v>
      </c>
      <c r="G32" s="672">
        <v>9820071787</v>
      </c>
      <c r="H32" s="673" t="s">
        <v>903</v>
      </c>
      <c r="I32" s="53"/>
      <c r="J32" s="67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s="63" customFormat="1" ht="32.5" customHeight="1">
      <c r="A33" s="13">
        <v>2</v>
      </c>
      <c r="B33" s="38" t="s">
        <v>1118</v>
      </c>
      <c r="C33" s="38" t="s">
        <v>2619</v>
      </c>
      <c r="D33" s="683" t="s">
        <v>3099</v>
      </c>
      <c r="E33" s="707">
        <v>17325</v>
      </c>
      <c r="F33" s="684" t="s">
        <v>13</v>
      </c>
      <c r="G33" s="258">
        <v>9911429572</v>
      </c>
      <c r="H33" s="18" t="s">
        <v>1119</v>
      </c>
      <c r="I33" s="5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s="63" customFormat="1" ht="32.5" customHeight="1">
      <c r="A34" s="30">
        <v>3</v>
      </c>
      <c r="B34" s="38" t="s">
        <v>2582</v>
      </c>
      <c r="C34" s="38" t="s">
        <v>2620</v>
      </c>
      <c r="D34" s="683" t="s">
        <v>3100</v>
      </c>
      <c r="E34" s="707">
        <v>1574</v>
      </c>
      <c r="F34" s="685" t="s">
        <v>2600</v>
      </c>
      <c r="G34" s="17"/>
      <c r="H34" s="34" t="s">
        <v>2262</v>
      </c>
      <c r="I34" s="5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s="63" customFormat="1" ht="32.5" customHeight="1">
      <c r="A35" s="13">
        <v>4</v>
      </c>
      <c r="B35" s="38" t="s">
        <v>1120</v>
      </c>
      <c r="C35" s="686" t="s">
        <v>2621</v>
      </c>
      <c r="D35" s="687" t="s">
        <v>3101</v>
      </c>
      <c r="E35" s="707">
        <v>17333</v>
      </c>
      <c r="F35" s="676" t="s">
        <v>13</v>
      </c>
      <c r="G35" s="258">
        <v>9910973796</v>
      </c>
      <c r="H35" s="25" t="s">
        <v>44</v>
      </c>
      <c r="I35" s="5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s="63" customFormat="1" ht="32.5" customHeight="1">
      <c r="A36" s="30">
        <v>5</v>
      </c>
      <c r="B36" s="38" t="s">
        <v>531</v>
      </c>
      <c r="C36" s="38" t="s">
        <v>2470</v>
      </c>
      <c r="D36" s="683" t="s">
        <v>3102</v>
      </c>
      <c r="E36" s="707">
        <v>36267</v>
      </c>
      <c r="F36" s="684" t="s">
        <v>13</v>
      </c>
      <c r="G36" s="258">
        <v>9212715593</v>
      </c>
      <c r="H36" s="18" t="s">
        <v>860</v>
      </c>
      <c r="I36" s="5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s="63" customFormat="1" ht="32.5" customHeight="1">
      <c r="A37" s="13">
        <v>6</v>
      </c>
      <c r="B37" s="38" t="s">
        <v>2581</v>
      </c>
      <c r="C37" s="38" t="s">
        <v>2573</v>
      </c>
      <c r="D37" s="683" t="s">
        <v>3103</v>
      </c>
      <c r="E37" s="707">
        <v>13464</v>
      </c>
      <c r="F37" s="685" t="s">
        <v>2600</v>
      </c>
      <c r="G37" s="17"/>
      <c r="H37" s="34" t="s">
        <v>2262</v>
      </c>
      <c r="I37" s="5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s="63" customFormat="1" ht="32.5" customHeight="1">
      <c r="A38" s="30">
        <v>7</v>
      </c>
      <c r="B38" s="38" t="s">
        <v>2568</v>
      </c>
      <c r="C38" s="38" t="s">
        <v>2569</v>
      </c>
      <c r="D38" s="683" t="s">
        <v>3104</v>
      </c>
      <c r="E38" s="707">
        <v>12530</v>
      </c>
      <c r="F38" s="685" t="s">
        <v>13</v>
      </c>
      <c r="G38" s="33"/>
      <c r="H38" s="34" t="s">
        <v>2580</v>
      </c>
      <c r="I38" s="5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s="63" customFormat="1" ht="32.5" customHeight="1">
      <c r="A39" s="13">
        <v>8</v>
      </c>
      <c r="B39" s="38" t="s">
        <v>2570</v>
      </c>
      <c r="C39" s="38" t="s">
        <v>2571</v>
      </c>
      <c r="D39" s="683" t="s">
        <v>3105</v>
      </c>
      <c r="E39" s="707">
        <v>8343</v>
      </c>
      <c r="F39" s="685" t="s">
        <v>13</v>
      </c>
      <c r="G39" s="17"/>
      <c r="H39" s="34" t="s">
        <v>2262</v>
      </c>
      <c r="I39" s="5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s="63" customFormat="1" ht="32.5" customHeight="1">
      <c r="A40" s="30">
        <v>9</v>
      </c>
      <c r="B40" s="38" t="s">
        <v>1126</v>
      </c>
      <c r="C40" s="686" t="s">
        <v>1127</v>
      </c>
      <c r="D40" s="683" t="s">
        <v>3106</v>
      </c>
      <c r="E40" s="707">
        <v>76549</v>
      </c>
      <c r="F40" s="676" t="s">
        <v>21</v>
      </c>
      <c r="G40" s="258">
        <v>9215729782</v>
      </c>
      <c r="H40" s="25" t="s">
        <v>1128</v>
      </c>
      <c r="I40" s="5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s="677" customFormat="1" ht="32.5" customHeight="1">
      <c r="A41" s="13">
        <v>10</v>
      </c>
      <c r="B41" s="20" t="s">
        <v>2567</v>
      </c>
      <c r="C41" s="21" t="s">
        <v>2566</v>
      </c>
      <c r="D41" s="683" t="s">
        <v>3106</v>
      </c>
      <c r="E41" s="707">
        <v>36427</v>
      </c>
      <c r="F41" s="676" t="s">
        <v>13</v>
      </c>
      <c r="G41" s="17"/>
      <c r="H41" s="25" t="s">
        <v>2262</v>
      </c>
      <c r="I41" s="8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s="63" customFormat="1" ht="32.5" customHeight="1" thickBot="1">
      <c r="A42" s="452">
        <v>11</v>
      </c>
      <c r="B42" s="688" t="s">
        <v>1593</v>
      </c>
      <c r="C42" s="688" t="s">
        <v>2572</v>
      </c>
      <c r="D42" s="720" t="s">
        <v>3107</v>
      </c>
      <c r="E42" s="708">
        <v>22263</v>
      </c>
      <c r="F42" s="689" t="s">
        <v>13</v>
      </c>
      <c r="G42" s="364"/>
      <c r="H42" s="526" t="s">
        <v>2262</v>
      </c>
      <c r="I42" s="5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s="705" customFormat="1" ht="32.5" customHeight="1" thickBot="1">
      <c r="A43" s="1138"/>
      <c r="B43" s="1139"/>
      <c r="C43" s="1139"/>
      <c r="D43" s="704" t="s">
        <v>196</v>
      </c>
      <c r="E43" s="703"/>
      <c r="F43" s="1140"/>
      <c r="G43" s="1140"/>
      <c r="H43" s="1141"/>
      <c r="I43" s="852"/>
    </row>
    <row r="44" spans="1:38" ht="32.5" customHeight="1">
      <c r="A44" s="30">
        <v>1</v>
      </c>
      <c r="B44" s="38" t="s">
        <v>2583</v>
      </c>
      <c r="C44" s="38" t="s">
        <v>2623</v>
      </c>
      <c r="D44" s="683" t="s">
        <v>3109</v>
      </c>
      <c r="E44" s="707">
        <v>23925</v>
      </c>
      <c r="F44" s="685" t="s">
        <v>21</v>
      </c>
      <c r="G44" s="258"/>
      <c r="H44" s="34" t="s">
        <v>2579</v>
      </c>
    </row>
    <row r="45" spans="1:38" ht="32.5" customHeight="1">
      <c r="A45" s="30">
        <v>2</v>
      </c>
      <c r="B45" s="38" t="s">
        <v>2598</v>
      </c>
      <c r="C45" s="38" t="s">
        <v>2622</v>
      </c>
      <c r="D45" s="683" t="s">
        <v>3108</v>
      </c>
      <c r="E45" s="707">
        <v>19219</v>
      </c>
      <c r="F45" s="685" t="s">
        <v>13</v>
      </c>
      <c r="G45" s="258"/>
      <c r="H45" s="34" t="s">
        <v>2599</v>
      </c>
    </row>
    <row r="46" spans="1:38" s="63" customFormat="1" ht="32.5" customHeight="1">
      <c r="A46" s="30">
        <v>3</v>
      </c>
      <c r="B46" s="38" t="s">
        <v>1137</v>
      </c>
      <c r="C46" s="686" t="s">
        <v>2624</v>
      </c>
      <c r="D46" s="687" t="s">
        <v>3110</v>
      </c>
      <c r="E46" s="707">
        <v>26850</v>
      </c>
      <c r="F46" s="676" t="s">
        <v>13</v>
      </c>
      <c r="G46" s="258">
        <v>8826414844</v>
      </c>
      <c r="H46" s="25" t="s">
        <v>44</v>
      </c>
      <c r="I46" s="5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s="63" customFormat="1" ht="32.5" customHeight="1">
      <c r="A47" s="30">
        <v>4</v>
      </c>
      <c r="B47" s="38" t="s">
        <v>1257</v>
      </c>
      <c r="C47" s="686" t="s">
        <v>2625</v>
      </c>
      <c r="D47" s="687" t="s">
        <v>3111</v>
      </c>
      <c r="E47" s="707">
        <v>15283</v>
      </c>
      <c r="F47" s="676" t="s">
        <v>69</v>
      </c>
      <c r="G47" s="258">
        <v>9709438432</v>
      </c>
      <c r="H47" s="25" t="s">
        <v>2575</v>
      </c>
      <c r="I47" s="5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s="63" customFormat="1" ht="32.5" customHeight="1">
      <c r="A48" s="30">
        <v>5</v>
      </c>
      <c r="B48" s="38" t="s">
        <v>1138</v>
      </c>
      <c r="C48" s="686" t="s">
        <v>2545</v>
      </c>
      <c r="D48" s="687" t="s">
        <v>3112</v>
      </c>
      <c r="E48" s="707">
        <v>26187</v>
      </c>
      <c r="F48" s="676" t="s">
        <v>13</v>
      </c>
      <c r="G48" s="258">
        <v>9899843220</v>
      </c>
      <c r="H48" s="25" t="s">
        <v>2266</v>
      </c>
      <c r="I48" s="5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s="63" customFormat="1" ht="32.5" customHeight="1">
      <c r="A49" s="30">
        <v>6</v>
      </c>
      <c r="B49" s="38" t="s">
        <v>2548</v>
      </c>
      <c r="C49" s="686" t="s">
        <v>2547</v>
      </c>
      <c r="D49" s="687" t="s">
        <v>3113</v>
      </c>
      <c r="E49" s="707">
        <v>20368</v>
      </c>
      <c r="F49" s="676" t="s">
        <v>21</v>
      </c>
      <c r="G49" s="258">
        <v>9205825288</v>
      </c>
      <c r="H49" s="25" t="s">
        <v>2549</v>
      </c>
      <c r="I49" s="5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s="63" customFormat="1" ht="32.5" customHeight="1">
      <c r="A50" s="30">
        <v>7</v>
      </c>
      <c r="B50" s="38" t="s">
        <v>2714</v>
      </c>
      <c r="C50" s="686" t="s">
        <v>2715</v>
      </c>
      <c r="D50" s="687" t="s">
        <v>3114</v>
      </c>
      <c r="E50" s="707">
        <v>25742</v>
      </c>
      <c r="F50" s="676" t="s">
        <v>21</v>
      </c>
      <c r="G50" s="258"/>
      <c r="H50" s="25" t="s">
        <v>2579</v>
      </c>
      <c r="I50" s="5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s="63" customFormat="1" ht="32.5" customHeight="1" thickBot="1">
      <c r="A51" s="690">
        <v>8</v>
      </c>
      <c r="B51" s="688" t="s">
        <v>2716</v>
      </c>
      <c r="C51" s="691" t="s">
        <v>2717</v>
      </c>
      <c r="D51" s="692" t="s">
        <v>3115</v>
      </c>
      <c r="E51" s="708">
        <v>30518</v>
      </c>
      <c r="F51" s="681" t="s">
        <v>21</v>
      </c>
      <c r="G51" s="364"/>
      <c r="H51" s="574" t="s">
        <v>2579</v>
      </c>
      <c r="I51" s="5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25" customHeight="1" thickBot="1">
      <c r="A52" s="1142" t="s">
        <v>1100</v>
      </c>
      <c r="B52" s="1143"/>
      <c r="C52" s="1143"/>
      <c r="D52" s="1143"/>
      <c r="E52" s="754"/>
      <c r="F52" s="754"/>
      <c r="G52" s="754"/>
      <c r="H52" s="755"/>
      <c r="I52" s="851">
        <v>3</v>
      </c>
    </row>
    <row r="53" spans="1:38" ht="19.5" thickBot="1">
      <c r="A53" s="67"/>
      <c r="B53" s="68"/>
      <c r="C53" s="68"/>
      <c r="D53" s="68"/>
      <c r="E53" s="68"/>
      <c r="F53" s="68"/>
      <c r="G53" s="68"/>
      <c r="H53" s="80"/>
    </row>
    <row r="54" spans="1:38" ht="25" customHeight="1" thickBot="1">
      <c r="A54" s="663" t="s">
        <v>2</v>
      </c>
      <c r="B54" s="664" t="s">
        <v>3</v>
      </c>
      <c r="C54" s="664" t="s">
        <v>4</v>
      </c>
      <c r="D54" s="665" t="s">
        <v>5</v>
      </c>
      <c r="E54" s="664" t="s">
        <v>6</v>
      </c>
      <c r="F54" s="666" t="s">
        <v>7</v>
      </c>
      <c r="G54" s="664" t="s">
        <v>8</v>
      </c>
      <c r="H54" s="667" t="s">
        <v>10</v>
      </c>
    </row>
    <row r="55" spans="1:38" s="705" customFormat="1" ht="27" customHeight="1" thickBot="1">
      <c r="A55" s="1138"/>
      <c r="B55" s="1139"/>
      <c r="C55" s="1139"/>
      <c r="D55" s="704" t="s">
        <v>229</v>
      </c>
      <c r="E55" s="703"/>
      <c r="F55" s="1140"/>
      <c r="G55" s="1140"/>
      <c r="H55" s="1141"/>
      <c r="I55" s="852"/>
    </row>
    <row r="56" spans="1:38" s="63" customFormat="1" ht="27" customHeight="1">
      <c r="A56" s="30">
        <v>1</v>
      </c>
      <c r="B56" s="38" t="s">
        <v>2718</v>
      </c>
      <c r="C56" s="686" t="s">
        <v>2719</v>
      </c>
      <c r="D56" s="687" t="s">
        <v>3116</v>
      </c>
      <c r="E56" s="707">
        <v>4600</v>
      </c>
      <c r="F56" s="693"/>
      <c r="G56" s="258"/>
      <c r="H56" s="694" t="s">
        <v>2579</v>
      </c>
      <c r="I56" s="5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s="63" customFormat="1" ht="27" customHeight="1">
      <c r="A57" s="695">
        <v>2</v>
      </c>
      <c r="B57" s="662" t="s">
        <v>1144</v>
      </c>
      <c r="C57" s="466" t="s">
        <v>2721</v>
      </c>
      <c r="D57" s="696" t="s">
        <v>3118</v>
      </c>
      <c r="E57" s="707">
        <v>10870</v>
      </c>
      <c r="F57" s="697" t="s">
        <v>13</v>
      </c>
      <c r="G57" s="258">
        <v>9999571000</v>
      </c>
      <c r="H57" s="698" t="s">
        <v>1143</v>
      </c>
      <c r="I57" s="5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s="63" customFormat="1" ht="27" customHeight="1">
      <c r="A58" s="695">
        <v>3</v>
      </c>
      <c r="B58" s="662" t="s">
        <v>1142</v>
      </c>
      <c r="C58" s="466" t="s">
        <v>2720</v>
      </c>
      <c r="D58" s="696" t="s">
        <v>3117</v>
      </c>
      <c r="E58" s="707">
        <v>32133</v>
      </c>
      <c r="F58" s="697" t="s">
        <v>13</v>
      </c>
      <c r="G58" s="258">
        <v>9999571000</v>
      </c>
      <c r="H58" s="698" t="s">
        <v>1143</v>
      </c>
      <c r="I58" s="5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s="63" customFormat="1" ht="27" customHeight="1">
      <c r="A59" s="695">
        <v>4</v>
      </c>
      <c r="B59" s="662" t="s">
        <v>2726</v>
      </c>
      <c r="C59" s="466" t="s">
        <v>2727</v>
      </c>
      <c r="D59" s="696" t="s">
        <v>3117</v>
      </c>
      <c r="E59" s="707">
        <v>19728</v>
      </c>
      <c r="F59" s="697" t="s">
        <v>13</v>
      </c>
      <c r="G59" s="258">
        <v>8851016246</v>
      </c>
      <c r="H59" s="698" t="s">
        <v>2735</v>
      </c>
      <c r="I59" s="5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s="63" customFormat="1" ht="27" customHeight="1">
      <c r="A60" s="695">
        <v>5</v>
      </c>
      <c r="B60" s="662" t="s">
        <v>2594</v>
      </c>
      <c r="C60" s="466" t="s">
        <v>2595</v>
      </c>
      <c r="D60" s="696" t="s">
        <v>3119</v>
      </c>
      <c r="E60" s="707">
        <v>43864</v>
      </c>
      <c r="F60" s="697" t="s">
        <v>13</v>
      </c>
      <c r="G60" s="258">
        <v>9811757583</v>
      </c>
      <c r="H60" s="698"/>
      <c r="I60" s="5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s="63" customFormat="1" ht="27" customHeight="1" thickBot="1">
      <c r="A61" s="699">
        <v>6</v>
      </c>
      <c r="B61" s="546" t="s">
        <v>2769</v>
      </c>
      <c r="C61" s="679" t="s">
        <v>2767</v>
      </c>
      <c r="D61" s="680" t="s">
        <v>3120</v>
      </c>
      <c r="E61" s="708">
        <v>25654</v>
      </c>
      <c r="F61" s="681" t="s">
        <v>21</v>
      </c>
      <c r="G61" s="364"/>
      <c r="H61" s="574" t="s">
        <v>2778</v>
      </c>
      <c r="I61" s="5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s="705" customFormat="1" ht="27" customHeight="1" thickBot="1">
      <c r="A62" s="1144"/>
      <c r="B62" s="1145"/>
      <c r="C62" s="1145"/>
      <c r="D62" s="712" t="s">
        <v>263</v>
      </c>
      <c r="E62" s="711"/>
      <c r="F62" s="1146"/>
      <c r="G62" s="1146"/>
      <c r="H62" s="1147"/>
      <c r="I62" s="852"/>
    </row>
    <row r="63" spans="1:38" s="3" customFormat="1" ht="27" customHeight="1">
      <c r="A63" s="13">
        <v>1</v>
      </c>
      <c r="B63" s="20" t="s">
        <v>2830</v>
      </c>
      <c r="C63" s="20" t="s">
        <v>2835</v>
      </c>
      <c r="D63" s="700"/>
      <c r="E63" s="707">
        <v>1003</v>
      </c>
      <c r="F63" s="684"/>
      <c r="G63" s="17"/>
      <c r="H63" s="18" t="s">
        <v>2580</v>
      </c>
      <c r="I63" s="853"/>
    </row>
    <row r="64" spans="1:38" s="3" customFormat="1" ht="27" customHeight="1">
      <c r="A64" s="19">
        <v>2</v>
      </c>
      <c r="B64" s="20" t="s">
        <v>2922</v>
      </c>
      <c r="C64" s="20" t="s">
        <v>2923</v>
      </c>
      <c r="D64" s="700" t="s">
        <v>3123</v>
      </c>
      <c r="E64" s="707">
        <v>14053</v>
      </c>
      <c r="F64" s="684" t="s">
        <v>13</v>
      </c>
      <c r="G64" s="17"/>
      <c r="H64" s="18" t="s">
        <v>2951</v>
      </c>
      <c r="I64" s="853"/>
    </row>
    <row r="65" spans="1:38" s="3" customFormat="1" ht="27" customHeight="1">
      <c r="A65" s="13">
        <v>3</v>
      </c>
      <c r="B65" s="20" t="s">
        <v>1145</v>
      </c>
      <c r="C65" s="20" t="s">
        <v>1146</v>
      </c>
      <c r="D65" s="700" t="s">
        <v>3124</v>
      </c>
      <c r="E65" s="707">
        <v>15416</v>
      </c>
      <c r="F65" s="684" t="s">
        <v>13</v>
      </c>
      <c r="G65" s="17">
        <v>9899141408</v>
      </c>
      <c r="H65" s="18" t="s">
        <v>1147</v>
      </c>
      <c r="I65" s="853"/>
    </row>
    <row r="66" spans="1:38" s="3" customFormat="1" ht="27" customHeight="1">
      <c r="A66" s="19">
        <v>4</v>
      </c>
      <c r="B66" s="20" t="s">
        <v>1155</v>
      </c>
      <c r="C66" s="20" t="s">
        <v>2934</v>
      </c>
      <c r="D66" s="700" t="s">
        <v>3125</v>
      </c>
      <c r="E66" s="707">
        <v>16460</v>
      </c>
      <c r="F66" s="684" t="s">
        <v>13</v>
      </c>
      <c r="G66" s="17">
        <v>9654068868</v>
      </c>
      <c r="H66" s="18" t="s">
        <v>2768</v>
      </c>
      <c r="I66" s="853"/>
    </row>
    <row r="67" spans="1:38" s="63" customFormat="1" ht="27" customHeight="1" thickBot="1">
      <c r="A67" s="452">
        <v>5</v>
      </c>
      <c r="B67" s="546" t="s">
        <v>1156</v>
      </c>
      <c r="C67" s="546" t="s">
        <v>2798</v>
      </c>
      <c r="D67" s="680" t="s">
        <v>3126</v>
      </c>
      <c r="E67" s="708">
        <v>8390</v>
      </c>
      <c r="F67" s="681" t="s">
        <v>13</v>
      </c>
      <c r="G67" s="364">
        <v>8826610553</v>
      </c>
      <c r="H67" s="574"/>
      <c r="I67" s="53"/>
      <c r="J67" s="67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s="705" customFormat="1" ht="27" customHeight="1" thickBot="1">
      <c r="A68" s="1148"/>
      <c r="B68" s="1149"/>
      <c r="C68" s="1149"/>
      <c r="D68" s="710" t="s">
        <v>291</v>
      </c>
      <c r="E68" s="709"/>
      <c r="F68" s="1150"/>
      <c r="G68" s="1150"/>
      <c r="H68" s="1151"/>
      <c r="I68" s="852"/>
    </row>
    <row r="69" spans="1:38" ht="27" customHeight="1">
      <c r="A69" s="448">
        <v>1</v>
      </c>
      <c r="B69" s="668" t="s">
        <v>1157</v>
      </c>
      <c r="C69" s="668" t="s">
        <v>2984</v>
      </c>
      <c r="D69" s="719" t="s">
        <v>3127</v>
      </c>
      <c r="E69" s="706">
        <v>14860</v>
      </c>
      <c r="F69" s="672" t="s">
        <v>3140</v>
      </c>
      <c r="G69" s="672">
        <v>9899952456</v>
      </c>
      <c r="H69" s="701"/>
    </row>
    <row r="70" spans="1:38" s="3" customFormat="1" ht="27" customHeight="1">
      <c r="A70" s="13">
        <v>2</v>
      </c>
      <c r="B70" s="20" t="s">
        <v>3065</v>
      </c>
      <c r="C70" s="20" t="s">
        <v>3066</v>
      </c>
      <c r="D70" s="15" t="s">
        <v>3129</v>
      </c>
      <c r="E70" s="707">
        <v>22912</v>
      </c>
      <c r="F70" s="17" t="s">
        <v>13</v>
      </c>
      <c r="G70" s="17"/>
      <c r="H70" s="18" t="s">
        <v>3069</v>
      </c>
      <c r="I70" s="853"/>
    </row>
    <row r="71" spans="1:38" s="63" customFormat="1" ht="27" customHeight="1">
      <c r="A71" s="13">
        <v>3</v>
      </c>
      <c r="B71" s="20" t="s">
        <v>3023</v>
      </c>
      <c r="C71" s="20" t="s">
        <v>3024</v>
      </c>
      <c r="D71" s="22" t="s">
        <v>3130</v>
      </c>
      <c r="E71" s="707">
        <v>29186</v>
      </c>
      <c r="F71" s="718" t="s">
        <v>3139</v>
      </c>
      <c r="G71" s="17">
        <v>9868204899</v>
      </c>
      <c r="H71" s="25"/>
      <c r="I71" s="53"/>
      <c r="J71" s="67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27" customHeight="1">
      <c r="A72" s="13">
        <v>4</v>
      </c>
      <c r="B72" s="20" t="s">
        <v>3075</v>
      </c>
      <c r="C72" s="20" t="s">
        <v>3074</v>
      </c>
      <c r="D72" s="15" t="s">
        <v>3132</v>
      </c>
      <c r="E72" s="707">
        <v>875</v>
      </c>
      <c r="F72" s="35"/>
      <c r="G72" s="17"/>
      <c r="H72" s="18" t="s">
        <v>2262</v>
      </c>
      <c r="J72" s="674"/>
    </row>
    <row r="73" spans="1:38" ht="27" customHeight="1">
      <c r="A73" s="13">
        <v>5</v>
      </c>
      <c r="B73" s="20" t="s">
        <v>3076</v>
      </c>
      <c r="C73" s="20" t="s">
        <v>3077</v>
      </c>
      <c r="D73" s="15" t="s">
        <v>3133</v>
      </c>
      <c r="E73" s="707">
        <v>1300</v>
      </c>
      <c r="F73" s="35"/>
      <c r="G73" s="17"/>
      <c r="H73" s="18" t="s">
        <v>2262</v>
      </c>
      <c r="J73" s="674"/>
    </row>
    <row r="74" spans="1:38" ht="27" customHeight="1">
      <c r="A74" s="13">
        <v>6</v>
      </c>
      <c r="B74" s="20" t="s">
        <v>3070</v>
      </c>
      <c r="C74" s="20" t="s">
        <v>3071</v>
      </c>
      <c r="D74" s="15" t="s">
        <v>3131</v>
      </c>
      <c r="E74" s="707">
        <v>11412</v>
      </c>
      <c r="F74" s="35" t="s">
        <v>13</v>
      </c>
      <c r="G74" s="17"/>
      <c r="H74" s="18" t="s">
        <v>2599</v>
      </c>
      <c r="J74" s="674"/>
    </row>
    <row r="75" spans="1:38" ht="27" customHeight="1">
      <c r="A75" s="13">
        <v>7</v>
      </c>
      <c r="B75" s="20" t="s">
        <v>3078</v>
      </c>
      <c r="C75" s="20" t="s">
        <v>3079</v>
      </c>
      <c r="D75" s="15" t="s">
        <v>3131</v>
      </c>
      <c r="E75" s="707">
        <v>2600</v>
      </c>
      <c r="F75" s="35"/>
      <c r="G75" s="17"/>
      <c r="H75" s="18" t="s">
        <v>2262</v>
      </c>
      <c r="J75" s="674"/>
    </row>
    <row r="76" spans="1:38" ht="27" customHeight="1">
      <c r="A76" s="13">
        <v>8</v>
      </c>
      <c r="B76" s="20" t="s">
        <v>3080</v>
      </c>
      <c r="C76" s="20" t="s">
        <v>3081</v>
      </c>
      <c r="D76" s="15" t="s">
        <v>3134</v>
      </c>
      <c r="E76" s="707">
        <v>2600</v>
      </c>
      <c r="F76" s="35"/>
      <c r="G76" s="17"/>
      <c r="H76" s="18" t="s">
        <v>2262</v>
      </c>
      <c r="J76" s="674"/>
    </row>
    <row r="77" spans="1:38" ht="27" customHeight="1">
      <c r="A77" s="13">
        <v>9</v>
      </c>
      <c r="B77" s="20" t="s">
        <v>3067</v>
      </c>
      <c r="C77" s="20" t="s">
        <v>3068</v>
      </c>
      <c r="D77" s="15" t="s">
        <v>3135</v>
      </c>
      <c r="E77" s="707">
        <v>24931</v>
      </c>
      <c r="F77" s="35" t="s">
        <v>69</v>
      </c>
      <c r="G77" s="17"/>
      <c r="H77" s="18" t="s">
        <v>2599</v>
      </c>
      <c r="J77" s="674"/>
    </row>
    <row r="78" spans="1:38" ht="27" customHeight="1" thickBot="1">
      <c r="A78" s="452">
        <v>10</v>
      </c>
      <c r="B78" s="546" t="s">
        <v>3073</v>
      </c>
      <c r="C78" s="546" t="s">
        <v>3072</v>
      </c>
      <c r="D78" s="455" t="s">
        <v>3136</v>
      </c>
      <c r="E78" s="708">
        <v>45742</v>
      </c>
      <c r="F78" s="324" t="s">
        <v>13</v>
      </c>
      <c r="G78" s="364"/>
      <c r="H78" s="363" t="s">
        <v>2599</v>
      </c>
      <c r="J78" s="674"/>
    </row>
    <row r="79" spans="1:38" ht="29" customHeight="1" thickBot="1">
      <c r="A79" s="8"/>
      <c r="B79" s="44"/>
      <c r="C79" s="44"/>
      <c r="D79" s="237"/>
      <c r="E79" s="725"/>
      <c r="F79" s="251"/>
      <c r="G79" s="8"/>
      <c r="H79" s="7"/>
      <c r="J79" s="674"/>
    </row>
    <row r="80" spans="1:38" ht="25" customHeight="1" thickBot="1">
      <c r="A80" s="1152" t="s">
        <v>1100</v>
      </c>
      <c r="B80" s="1153"/>
      <c r="C80" s="1153"/>
      <c r="D80" s="1153"/>
      <c r="E80" s="754"/>
      <c r="F80" s="754"/>
      <c r="G80" s="754"/>
      <c r="H80" s="755"/>
      <c r="I80" s="851">
        <v>4</v>
      </c>
    </row>
    <row r="81" spans="1:10" ht="19.5" thickBot="1">
      <c r="A81" s="67"/>
      <c r="B81" s="68"/>
      <c r="C81" s="68"/>
      <c r="D81" s="68"/>
      <c r="E81" s="68"/>
      <c r="F81" s="68"/>
      <c r="G81" s="68"/>
      <c r="H81" s="80"/>
    </row>
    <row r="82" spans="1:10" ht="25" customHeight="1" thickBot="1">
      <c r="A82" s="663" t="s">
        <v>2</v>
      </c>
      <c r="B82" s="664" t="s">
        <v>3</v>
      </c>
      <c r="C82" s="664" t="s">
        <v>4</v>
      </c>
      <c r="D82" s="665" t="s">
        <v>5</v>
      </c>
      <c r="E82" s="664" t="s">
        <v>6</v>
      </c>
      <c r="F82" s="666" t="s">
        <v>7</v>
      </c>
      <c r="G82" s="664" t="s">
        <v>8</v>
      </c>
      <c r="H82" s="667" t="s">
        <v>10</v>
      </c>
    </row>
    <row r="83" spans="1:10" s="705" customFormat="1" ht="26" customHeight="1" thickBot="1">
      <c r="A83" s="1144"/>
      <c r="B83" s="1145"/>
      <c r="C83" s="1145"/>
      <c r="D83" s="712" t="s">
        <v>307</v>
      </c>
      <c r="E83" s="711"/>
      <c r="F83" s="1146"/>
      <c r="G83" s="1146"/>
      <c r="H83" s="1147"/>
      <c r="I83" s="852"/>
    </row>
    <row r="84" spans="1:10" ht="26" customHeight="1">
      <c r="A84" s="30">
        <v>1</v>
      </c>
      <c r="B84" s="38" t="s">
        <v>1158</v>
      </c>
      <c r="C84" s="38" t="s">
        <v>3064</v>
      </c>
      <c r="D84" s="31" t="s">
        <v>3128</v>
      </c>
      <c r="E84" s="724">
        <v>28068</v>
      </c>
      <c r="F84" s="39" t="s">
        <v>13</v>
      </c>
      <c r="G84" s="33">
        <v>8076683451</v>
      </c>
      <c r="H84" s="34" t="s">
        <v>860</v>
      </c>
      <c r="J84" s="674"/>
    </row>
    <row r="85" spans="1:10" ht="26" customHeight="1">
      <c r="A85" s="13">
        <v>2</v>
      </c>
      <c r="B85" s="20" t="s">
        <v>3187</v>
      </c>
      <c r="C85" s="20" t="s">
        <v>3186</v>
      </c>
      <c r="D85" s="15" t="s">
        <v>3185</v>
      </c>
      <c r="E85" s="707">
        <v>7178</v>
      </c>
      <c r="F85" s="35"/>
      <c r="G85" s="17"/>
      <c r="H85" s="18" t="s">
        <v>1157</v>
      </c>
      <c r="J85" s="674"/>
    </row>
    <row r="86" spans="1:10" ht="26" customHeight="1">
      <c r="A86" s="13">
        <v>3</v>
      </c>
      <c r="B86" s="20" t="s">
        <v>3189</v>
      </c>
      <c r="C86" s="20" t="s">
        <v>3197</v>
      </c>
      <c r="D86" s="15" t="s">
        <v>3198</v>
      </c>
      <c r="E86" s="707">
        <v>10790</v>
      </c>
      <c r="F86" s="35"/>
      <c r="G86" s="17"/>
      <c r="H86" s="18" t="s">
        <v>2262</v>
      </c>
      <c r="J86" s="674"/>
    </row>
    <row r="87" spans="1:10" ht="26" customHeight="1">
      <c r="A87" s="13">
        <v>4</v>
      </c>
      <c r="B87" s="20" t="s">
        <v>3189</v>
      </c>
      <c r="C87" s="20" t="s">
        <v>3197</v>
      </c>
      <c r="D87" s="15" t="s">
        <v>3062</v>
      </c>
      <c r="E87" s="707">
        <v>2470</v>
      </c>
      <c r="F87" s="35"/>
      <c r="G87" s="17"/>
      <c r="H87" s="18" t="s">
        <v>2262</v>
      </c>
      <c r="J87" s="674"/>
    </row>
    <row r="88" spans="1:10" ht="26" customHeight="1">
      <c r="A88" s="13">
        <v>5</v>
      </c>
      <c r="B88" s="20" t="s">
        <v>3015</v>
      </c>
      <c r="C88" s="20" t="s">
        <v>3190</v>
      </c>
      <c r="D88" s="15" t="s">
        <v>3062</v>
      </c>
      <c r="E88" s="707">
        <v>2500</v>
      </c>
      <c r="F88" s="35"/>
      <c r="G88" s="17"/>
      <c r="H88" s="18" t="s">
        <v>2262</v>
      </c>
      <c r="J88" s="674"/>
    </row>
    <row r="89" spans="1:10" ht="26" customHeight="1">
      <c r="A89" s="13">
        <v>6</v>
      </c>
      <c r="B89" s="20" t="s">
        <v>3191</v>
      </c>
      <c r="C89" s="20" t="s">
        <v>3190</v>
      </c>
      <c r="D89" s="15" t="s">
        <v>3062</v>
      </c>
      <c r="E89" s="707">
        <v>2500</v>
      </c>
      <c r="F89" s="35"/>
      <c r="G89" s="17"/>
      <c r="H89" s="18" t="s">
        <v>2262</v>
      </c>
      <c r="J89" s="674"/>
    </row>
    <row r="90" spans="1:10" ht="26" customHeight="1">
      <c r="A90" s="13">
        <v>7</v>
      </c>
      <c r="B90" s="20" t="s">
        <v>3193</v>
      </c>
      <c r="C90" s="20" t="s">
        <v>3192</v>
      </c>
      <c r="D90" s="15" t="s">
        <v>3188</v>
      </c>
      <c r="E90" s="707">
        <v>7261</v>
      </c>
      <c r="F90" s="35"/>
      <c r="G90" s="17"/>
      <c r="H90" s="18"/>
      <c r="J90" s="674"/>
    </row>
    <row r="91" spans="1:10" ht="26" customHeight="1">
      <c r="A91" s="13">
        <v>8</v>
      </c>
      <c r="B91" s="20" t="s">
        <v>1159</v>
      </c>
      <c r="C91" s="20" t="s">
        <v>3092</v>
      </c>
      <c r="D91" s="15" t="s">
        <v>3137</v>
      </c>
      <c r="E91" s="707">
        <v>26519</v>
      </c>
      <c r="F91" s="35" t="s">
        <v>2836</v>
      </c>
      <c r="G91" s="17">
        <v>9310088856</v>
      </c>
      <c r="H91" s="18"/>
      <c r="J91" s="674"/>
    </row>
    <row r="92" spans="1:10" ht="26" customHeight="1">
      <c r="A92" s="13">
        <v>9</v>
      </c>
      <c r="B92" s="20" t="s">
        <v>2262</v>
      </c>
      <c r="C92" s="20" t="s">
        <v>3194</v>
      </c>
      <c r="D92" s="15" t="s">
        <v>3195</v>
      </c>
      <c r="E92" s="707">
        <v>3730</v>
      </c>
      <c r="F92" s="35"/>
      <c r="G92" s="17"/>
      <c r="H92" s="18"/>
      <c r="J92" s="674"/>
    </row>
    <row r="93" spans="1:10" ht="26" customHeight="1">
      <c r="A93" s="13">
        <v>10</v>
      </c>
      <c r="B93" s="20" t="s">
        <v>3080</v>
      </c>
      <c r="C93" s="20" t="s">
        <v>3194</v>
      </c>
      <c r="D93" s="15" t="s">
        <v>3188</v>
      </c>
      <c r="E93" s="707">
        <v>2600</v>
      </c>
      <c r="F93" s="35"/>
      <c r="G93" s="17"/>
      <c r="H93" s="18"/>
      <c r="J93" s="674"/>
    </row>
    <row r="94" spans="1:10" ht="26" customHeight="1">
      <c r="A94" s="13">
        <v>11</v>
      </c>
      <c r="B94" s="20" t="s">
        <v>3067</v>
      </c>
      <c r="C94" s="20" t="s">
        <v>3196</v>
      </c>
      <c r="D94" s="15" t="s">
        <v>3188</v>
      </c>
      <c r="E94" s="707">
        <v>24931</v>
      </c>
      <c r="F94" s="35"/>
      <c r="G94" s="17"/>
      <c r="H94" s="18"/>
      <c r="J94" s="674"/>
    </row>
    <row r="95" spans="1:10" ht="26" customHeight="1" thickBot="1">
      <c r="A95" s="13">
        <v>12</v>
      </c>
      <c r="B95" s="20" t="s">
        <v>3396</v>
      </c>
      <c r="C95" s="20" t="s">
        <v>3398</v>
      </c>
      <c r="D95" s="15" t="s">
        <v>3399</v>
      </c>
      <c r="E95" s="707">
        <v>16880</v>
      </c>
      <c r="F95" s="35" t="s">
        <v>13</v>
      </c>
      <c r="G95" s="17"/>
      <c r="H95" s="18" t="s">
        <v>3397</v>
      </c>
      <c r="J95" s="674"/>
    </row>
    <row r="96" spans="1:10" s="705" customFormat="1" ht="26" customHeight="1" thickBot="1">
      <c r="A96" s="1138"/>
      <c r="B96" s="1139"/>
      <c r="C96" s="1139"/>
      <c r="D96" s="704" t="s">
        <v>339</v>
      </c>
      <c r="E96" s="703"/>
      <c r="F96" s="1140"/>
      <c r="G96" s="1140"/>
      <c r="H96" s="1141"/>
      <c r="I96" s="852"/>
    </row>
    <row r="97" spans="1:38" s="63" customFormat="1" ht="26" customHeight="1">
      <c r="A97" s="19">
        <v>1</v>
      </c>
      <c r="B97" s="14" t="s">
        <v>3300</v>
      </c>
      <c r="C97" s="14" t="s">
        <v>3298</v>
      </c>
      <c r="D97" s="675" t="s">
        <v>3299</v>
      </c>
      <c r="E97" s="707">
        <v>64936</v>
      </c>
      <c r="F97" s="676" t="s">
        <v>13</v>
      </c>
      <c r="G97" s="17"/>
      <c r="H97" s="25"/>
      <c r="I97" s="53"/>
      <c r="J97" s="67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26" customHeight="1">
      <c r="A98" s="13">
        <v>2</v>
      </c>
      <c r="B98" s="14" t="s">
        <v>1160</v>
      </c>
      <c r="C98" s="14" t="s">
        <v>3375</v>
      </c>
      <c r="D98" s="700" t="s">
        <v>3376</v>
      </c>
      <c r="E98" s="707">
        <v>9150</v>
      </c>
      <c r="F98" s="684" t="s">
        <v>13</v>
      </c>
      <c r="G98" s="17">
        <v>9999297551</v>
      </c>
      <c r="H98" s="18" t="s">
        <v>855</v>
      </c>
      <c r="J98" s="674"/>
    </row>
    <row r="99" spans="1:38" ht="26" customHeight="1">
      <c r="A99" s="13">
        <v>3</v>
      </c>
      <c r="B99" s="14" t="s">
        <v>1161</v>
      </c>
      <c r="C99" s="14" t="s">
        <v>3377</v>
      </c>
      <c r="D99" s="700" t="s">
        <v>3376</v>
      </c>
      <c r="E99" s="707">
        <v>22513</v>
      </c>
      <c r="F99" s="684" t="s">
        <v>13</v>
      </c>
      <c r="G99" s="17">
        <v>9999297551</v>
      </c>
      <c r="H99" s="18" t="s">
        <v>855</v>
      </c>
      <c r="J99" s="674"/>
    </row>
    <row r="100" spans="1:38" ht="26" customHeight="1">
      <c r="A100" s="13">
        <v>4</v>
      </c>
      <c r="B100" s="14" t="s">
        <v>3392</v>
      </c>
      <c r="C100" s="14" t="s">
        <v>3391</v>
      </c>
      <c r="D100" s="700" t="s">
        <v>3369</v>
      </c>
      <c r="E100" s="707">
        <v>19812</v>
      </c>
      <c r="F100" s="684" t="s">
        <v>69</v>
      </c>
      <c r="G100" s="17"/>
      <c r="H100" s="18" t="s">
        <v>2262</v>
      </c>
      <c r="J100" s="674"/>
    </row>
    <row r="101" spans="1:38" ht="26" customHeight="1">
      <c r="A101" s="13">
        <v>5</v>
      </c>
      <c r="B101" s="14" t="s">
        <v>1162</v>
      </c>
      <c r="C101" s="14" t="s">
        <v>3378</v>
      </c>
      <c r="D101" s="700" t="s">
        <v>3369</v>
      </c>
      <c r="E101" s="707">
        <v>13177</v>
      </c>
      <c r="F101" s="684" t="s">
        <v>13</v>
      </c>
      <c r="G101" s="17">
        <v>9999297551</v>
      </c>
      <c r="H101" s="18" t="s">
        <v>855</v>
      </c>
      <c r="J101" s="674"/>
    </row>
    <row r="102" spans="1:38" ht="26" customHeight="1" thickBot="1">
      <c r="A102" s="13">
        <v>6</v>
      </c>
      <c r="B102" s="14" t="s">
        <v>661</v>
      </c>
      <c r="C102" s="14" t="s">
        <v>3391</v>
      </c>
      <c r="D102" s="700" t="s">
        <v>3369</v>
      </c>
      <c r="E102" s="707">
        <v>19812</v>
      </c>
      <c r="F102" s="684" t="s">
        <v>69</v>
      </c>
      <c r="G102" s="17"/>
      <c r="H102" s="18" t="s">
        <v>3193</v>
      </c>
      <c r="J102" s="674"/>
    </row>
    <row r="103" spans="1:38" s="702" customFormat="1" ht="35" customHeight="1" thickBot="1">
      <c r="A103" s="713"/>
      <c r="B103" s="716">
        <f>A102+A95+A78+A67+A61+A51+A42+A27+A20+A17+A15+A10</f>
        <v>76</v>
      </c>
      <c r="C103" s="714"/>
      <c r="D103" s="714"/>
      <c r="E103" s="715">
        <f>SUM(E5:E102)</f>
        <v>1632894</v>
      </c>
      <c r="F103" s="1154"/>
      <c r="G103" s="1154"/>
      <c r="H103" s="1155"/>
      <c r="I103" s="5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35" customHeight="1">
      <c r="E104" s="717">
        <f>E103/100000</f>
        <v>16.328939999999999</v>
      </c>
    </row>
  </sheetData>
  <mergeCells count="29">
    <mergeCell ref="A1:D1"/>
    <mergeCell ref="A80:D80"/>
    <mergeCell ref="F103:H103"/>
    <mergeCell ref="A11:C11"/>
    <mergeCell ref="F11:H11"/>
    <mergeCell ref="A16:C16"/>
    <mergeCell ref="F16:H16"/>
    <mergeCell ref="A19:C19"/>
    <mergeCell ref="F19:H19"/>
    <mergeCell ref="A21:C21"/>
    <mergeCell ref="F21:H21"/>
    <mergeCell ref="A31:C31"/>
    <mergeCell ref="F31:H31"/>
    <mergeCell ref="A43:C43"/>
    <mergeCell ref="A96:C96"/>
    <mergeCell ref="F96:H96"/>
    <mergeCell ref="A62:C62"/>
    <mergeCell ref="F62:H62"/>
    <mergeCell ref="A68:C68"/>
    <mergeCell ref="F68:H68"/>
    <mergeCell ref="A83:C83"/>
    <mergeCell ref="F83:H83"/>
    <mergeCell ref="A4:C4"/>
    <mergeCell ref="F4:H4"/>
    <mergeCell ref="F43:H43"/>
    <mergeCell ref="A55:C55"/>
    <mergeCell ref="F55:H55"/>
    <mergeCell ref="A28:D28"/>
    <mergeCell ref="A52:D52"/>
  </mergeCells>
  <phoneticPr fontId="70" type="noConversion"/>
  <pageMargins left="0.53" right="0" top="0.25" bottom="0" header="0" footer="0"/>
  <pageSetup scale="75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I19"/>
  <sheetViews>
    <sheetView topLeftCell="A7" zoomScale="85" zoomScaleNormal="85" workbookViewId="0">
      <selection activeCell="B12" sqref="B12"/>
    </sheetView>
  </sheetViews>
  <sheetFormatPr defaultColWidth="39.81640625" defaultRowHeight="13"/>
  <cols>
    <col min="1" max="1" width="5.54296875" style="1" customWidth="1"/>
    <col min="2" max="2" width="37.26953125" style="1" customWidth="1"/>
    <col min="3" max="3" width="37.1796875" style="1" customWidth="1"/>
    <col min="4" max="4" width="15.26953125" style="1" customWidth="1"/>
    <col min="5" max="5" width="13.7265625" style="66" customWidth="1"/>
    <col min="6" max="6" width="15.1796875" style="66" customWidth="1"/>
    <col min="7" max="7" width="14.26953125" style="66" customWidth="1"/>
    <col min="8" max="8" width="34.7265625" style="1" customWidth="1"/>
    <col min="9" max="9" width="18.1796875" style="1" customWidth="1"/>
    <col min="10" max="16384" width="39.81640625" style="1"/>
  </cols>
  <sheetData>
    <row r="1" spans="1:9" ht="30" customHeight="1">
      <c r="A1" s="1156" t="s">
        <v>3000</v>
      </c>
      <c r="B1" s="1157"/>
      <c r="C1" s="1157"/>
      <c r="D1" s="1157"/>
      <c r="E1" s="1157"/>
      <c r="F1" s="1157"/>
      <c r="G1" s="1157"/>
      <c r="H1" s="1157"/>
      <c r="I1" s="1158"/>
    </row>
    <row r="2" spans="1:9">
      <c r="A2" s="1159"/>
      <c r="B2" s="1160"/>
      <c r="C2" s="1160"/>
      <c r="D2" s="1160"/>
      <c r="E2" s="1160"/>
      <c r="F2" s="1160"/>
      <c r="G2" s="1160"/>
      <c r="H2" s="1160"/>
      <c r="I2" s="1161"/>
    </row>
    <row r="3" spans="1:9" ht="30" customHeight="1" thickBot="1">
      <c r="A3" s="180" t="s">
        <v>2</v>
      </c>
      <c r="B3" s="181" t="s">
        <v>3</v>
      </c>
      <c r="C3" s="181" t="s">
        <v>4</v>
      </c>
      <c r="D3" s="600" t="s">
        <v>5</v>
      </c>
      <c r="E3" s="607" t="s">
        <v>6</v>
      </c>
      <c r="F3" s="604" t="s">
        <v>360</v>
      </c>
      <c r="G3" s="181" t="s">
        <v>8</v>
      </c>
      <c r="H3" s="181" t="s">
        <v>9</v>
      </c>
      <c r="I3" s="192" t="s">
        <v>10</v>
      </c>
    </row>
    <row r="4" spans="1:9" ht="40" customHeight="1" thickBot="1">
      <c r="A4" s="814">
        <v>1</v>
      </c>
      <c r="B4" s="815" t="s">
        <v>1163</v>
      </c>
      <c r="C4" s="816" t="s">
        <v>3480</v>
      </c>
      <c r="D4" s="817" t="s">
        <v>3445</v>
      </c>
      <c r="E4" s="818">
        <v>9102</v>
      </c>
      <c r="F4" s="819" t="s">
        <v>3481</v>
      </c>
      <c r="G4" s="820">
        <v>9810424061</v>
      </c>
      <c r="H4" s="821" t="s">
        <v>1164</v>
      </c>
      <c r="I4" s="822"/>
    </row>
    <row r="5" spans="1:9" ht="40" customHeight="1">
      <c r="A5" s="583">
        <v>2</v>
      </c>
      <c r="B5" s="791" t="s">
        <v>1163</v>
      </c>
      <c r="C5" s="257" t="s">
        <v>3456</v>
      </c>
      <c r="D5" s="624" t="s">
        <v>3457</v>
      </c>
      <c r="E5" s="627">
        <v>26549</v>
      </c>
      <c r="F5" s="587" t="s">
        <v>17</v>
      </c>
      <c r="G5" s="618">
        <v>9810424061</v>
      </c>
      <c r="H5" s="618" t="s">
        <v>1164</v>
      </c>
      <c r="I5" s="792"/>
    </row>
    <row r="6" spans="1:9" ht="40" customHeight="1">
      <c r="A6" s="802">
        <v>3</v>
      </c>
      <c r="B6" s="803" t="s">
        <v>3550</v>
      </c>
      <c r="C6" s="804" t="s">
        <v>3551</v>
      </c>
      <c r="D6" s="805" t="s">
        <v>3549</v>
      </c>
      <c r="E6" s="752">
        <v>23476</v>
      </c>
      <c r="F6" s="813" t="s">
        <v>13</v>
      </c>
      <c r="G6" s="812">
        <v>8587929230</v>
      </c>
      <c r="H6" s="812"/>
      <c r="I6" s="840"/>
    </row>
    <row r="7" spans="1:9" s="3" customFormat="1" ht="40" customHeight="1" thickBot="1">
      <c r="A7" s="481">
        <v>4</v>
      </c>
      <c r="B7" s="621" t="s">
        <v>1165</v>
      </c>
      <c r="C7" s="454" t="s">
        <v>3662</v>
      </c>
      <c r="D7" s="625" t="s">
        <v>3407</v>
      </c>
      <c r="E7" s="628">
        <v>38578</v>
      </c>
      <c r="F7" s="626" t="s">
        <v>17</v>
      </c>
      <c r="G7" s="202">
        <v>9999709908</v>
      </c>
      <c r="H7" s="924"/>
      <c r="I7" s="925"/>
    </row>
    <row r="8" spans="1:9" ht="40" customHeight="1">
      <c r="A8" s="583">
        <v>5</v>
      </c>
      <c r="B8" s="791" t="s">
        <v>3712</v>
      </c>
      <c r="C8" s="257" t="s">
        <v>3710</v>
      </c>
      <c r="D8" s="624" t="s">
        <v>3711</v>
      </c>
      <c r="E8" s="627">
        <v>14431</v>
      </c>
      <c r="F8" s="587" t="s">
        <v>13</v>
      </c>
      <c r="G8" s="618">
        <v>8449444467</v>
      </c>
      <c r="H8" s="618"/>
      <c r="I8" s="792"/>
    </row>
    <row r="9" spans="1:9" s="3" customFormat="1" ht="40" customHeight="1" thickBot="1">
      <c r="A9" s="1012">
        <v>6</v>
      </c>
      <c r="B9" s="1013" t="s">
        <v>1166</v>
      </c>
      <c r="C9" s="1014" t="s">
        <v>3866</v>
      </c>
      <c r="D9" s="1015" t="s">
        <v>3774</v>
      </c>
      <c r="E9" s="1016">
        <v>53057</v>
      </c>
      <c r="F9" s="1017" t="s">
        <v>17</v>
      </c>
      <c r="G9" s="1018">
        <v>9810700365</v>
      </c>
      <c r="H9" s="1019" t="s">
        <v>1167</v>
      </c>
      <c r="I9" s="1020"/>
    </row>
    <row r="10" spans="1:9" s="3" customFormat="1" ht="40" customHeight="1" thickBot="1">
      <c r="A10" s="889">
        <v>7</v>
      </c>
      <c r="B10" s="894" t="s">
        <v>1168</v>
      </c>
      <c r="C10" s="890" t="s">
        <v>2198</v>
      </c>
      <c r="D10" s="891" t="s">
        <v>2259</v>
      </c>
      <c r="E10" s="892">
        <v>23506</v>
      </c>
      <c r="F10" s="893" t="s">
        <v>17</v>
      </c>
      <c r="G10" s="895">
        <v>9560019238</v>
      </c>
      <c r="H10" s="887"/>
      <c r="I10" s="888"/>
    </row>
    <row r="11" spans="1:9" ht="40" customHeight="1" thickBot="1">
      <c r="A11" s="793">
        <v>8</v>
      </c>
      <c r="B11" s="810" t="s">
        <v>1169</v>
      </c>
      <c r="C11" s="795" t="s">
        <v>1170</v>
      </c>
      <c r="D11" s="796" t="s">
        <v>1171</v>
      </c>
      <c r="E11" s="797">
        <v>29143</v>
      </c>
      <c r="F11" s="811" t="s">
        <v>29</v>
      </c>
      <c r="G11" s="799">
        <v>9999071080</v>
      </c>
      <c r="H11" s="800" t="s">
        <v>57</v>
      </c>
      <c r="I11" s="801"/>
    </row>
    <row r="12" spans="1:9" ht="40" customHeight="1" thickBot="1">
      <c r="A12" s="802">
        <v>9</v>
      </c>
      <c r="B12" s="803" t="s">
        <v>1172</v>
      </c>
      <c r="C12" s="804" t="s">
        <v>2413</v>
      </c>
      <c r="D12" s="805" t="s">
        <v>2412</v>
      </c>
      <c r="E12" s="752">
        <v>45231</v>
      </c>
      <c r="F12" s="806" t="s">
        <v>17</v>
      </c>
      <c r="G12" s="807">
        <v>9811757583</v>
      </c>
      <c r="H12" s="808" t="s">
        <v>1173</v>
      </c>
      <c r="I12" s="809" t="s">
        <v>1174</v>
      </c>
    </row>
    <row r="13" spans="1:9" ht="40" customHeight="1">
      <c r="A13" s="583">
        <v>10</v>
      </c>
      <c r="B13" s="618" t="s">
        <v>2687</v>
      </c>
      <c r="C13" s="257" t="s">
        <v>2689</v>
      </c>
      <c r="D13" s="624" t="s">
        <v>2688</v>
      </c>
      <c r="E13" s="627">
        <v>33724</v>
      </c>
      <c r="F13" s="587" t="s">
        <v>17</v>
      </c>
      <c r="G13" s="499">
        <v>9210176126</v>
      </c>
      <c r="H13" s="619"/>
      <c r="I13" s="620"/>
    </row>
    <row r="14" spans="1:9" ht="40" customHeight="1" thickBot="1">
      <c r="A14" s="481">
        <v>11</v>
      </c>
      <c r="B14" s="621" t="s">
        <v>1177</v>
      </c>
      <c r="C14" s="454" t="s">
        <v>1178</v>
      </c>
      <c r="D14" s="625" t="s">
        <v>1179</v>
      </c>
      <c r="E14" s="628">
        <v>29143</v>
      </c>
      <c r="F14" s="626" t="s">
        <v>29</v>
      </c>
      <c r="G14" s="202">
        <v>9213527718</v>
      </c>
      <c r="H14" s="622"/>
      <c r="I14" s="623"/>
    </row>
    <row r="15" spans="1:9" ht="40" customHeight="1" thickBot="1">
      <c r="A15" s="793">
        <v>12</v>
      </c>
      <c r="B15" s="794" t="s">
        <v>1188</v>
      </c>
      <c r="C15" s="795" t="s">
        <v>2960</v>
      </c>
      <c r="D15" s="796" t="s">
        <v>1047</v>
      </c>
      <c r="E15" s="797">
        <v>22499</v>
      </c>
      <c r="F15" s="798" t="s">
        <v>17</v>
      </c>
      <c r="G15" s="799">
        <v>9205417206</v>
      </c>
      <c r="H15" s="800" t="s">
        <v>2772</v>
      </c>
      <c r="I15" s="801">
        <v>9810222427</v>
      </c>
    </row>
    <row r="16" spans="1:9" ht="40" customHeight="1">
      <c r="A16" s="583">
        <v>13</v>
      </c>
      <c r="B16" s="618" t="s">
        <v>1191</v>
      </c>
      <c r="C16" s="257" t="s">
        <v>3167</v>
      </c>
      <c r="D16" s="624" t="s">
        <v>3156</v>
      </c>
      <c r="E16" s="627">
        <v>35212</v>
      </c>
      <c r="F16" s="587" t="s">
        <v>17</v>
      </c>
      <c r="G16" s="499">
        <v>9711205371</v>
      </c>
      <c r="H16" s="619"/>
      <c r="I16" s="620"/>
    </row>
    <row r="17" spans="1:9" ht="40" customHeight="1" thickBot="1">
      <c r="A17" s="481">
        <v>14</v>
      </c>
      <c r="B17" s="621" t="s">
        <v>1192</v>
      </c>
      <c r="C17" s="454" t="s">
        <v>3255</v>
      </c>
      <c r="D17" s="625" t="s">
        <v>3175</v>
      </c>
      <c r="E17" s="628">
        <v>48201</v>
      </c>
      <c r="F17" s="626" t="s">
        <v>17</v>
      </c>
      <c r="G17" s="202">
        <v>9211916326</v>
      </c>
      <c r="H17" s="622" t="s">
        <v>369</v>
      </c>
      <c r="I17" s="623"/>
    </row>
    <row r="18" spans="1:9" s="65" customFormat="1" ht="40" customHeight="1" thickBot="1">
      <c r="A18" s="1162" t="s">
        <v>1196</v>
      </c>
      <c r="B18" s="1163"/>
      <c r="C18" s="1163"/>
      <c r="D18" s="1163"/>
      <c r="E18" s="610">
        <f>SUM(E4:E17)</f>
        <v>431852</v>
      </c>
      <c r="F18" s="1157"/>
      <c r="G18" s="1157"/>
      <c r="H18" s="1157"/>
      <c r="I18" s="1158"/>
    </row>
    <row r="19" spans="1:9" ht="40" customHeight="1">
      <c r="A19" s="188"/>
      <c r="B19" s="189"/>
      <c r="C19" s="189"/>
      <c r="D19" s="189"/>
      <c r="E19" s="190">
        <f>E18/100000</f>
        <v>4.3185200000000004</v>
      </c>
      <c r="F19" s="191"/>
      <c r="G19" s="191"/>
      <c r="H19" s="189"/>
      <c r="I19" s="193"/>
    </row>
  </sheetData>
  <mergeCells count="4">
    <mergeCell ref="A1:I1"/>
    <mergeCell ref="A2:I2"/>
    <mergeCell ref="A18:D18"/>
    <mergeCell ref="F18:I18"/>
  </mergeCells>
  <pageMargins left="0.25" right="0" top="0.5" bottom="0" header="0" footer="0"/>
  <pageSetup scale="7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22"/>
  <sheetViews>
    <sheetView topLeftCell="A12" zoomScale="70" zoomScaleNormal="70" workbookViewId="0">
      <selection activeCell="C8" sqref="C8"/>
    </sheetView>
  </sheetViews>
  <sheetFormatPr defaultColWidth="9.1796875" defaultRowHeight="13"/>
  <cols>
    <col min="1" max="1" width="5.7265625" style="1" customWidth="1"/>
    <col min="2" max="2" width="51.90625" style="1" bestFit="1" customWidth="1"/>
    <col min="3" max="3" width="28.1796875" style="1" bestFit="1" customWidth="1"/>
    <col min="4" max="4" width="16.7265625" style="1" bestFit="1" customWidth="1"/>
    <col min="5" max="5" width="16.81640625" style="1" customWidth="1"/>
    <col min="6" max="6" width="13.453125" style="66" customWidth="1"/>
    <col min="7" max="7" width="15.7265625" style="66" customWidth="1"/>
    <col min="8" max="8" width="20.54296875" style="1" bestFit="1" customWidth="1"/>
    <col min="9" max="9" width="52.453125" style="1" customWidth="1"/>
    <col min="10" max="10" width="4.453125" style="1" customWidth="1"/>
    <col min="11" max="16384" width="9.1796875" style="1"/>
  </cols>
  <sheetData>
    <row r="1" spans="1:9" ht="30" customHeight="1">
      <c r="A1" s="1164" t="s">
        <v>1197</v>
      </c>
      <c r="B1" s="1165"/>
      <c r="C1" s="1165"/>
      <c r="D1" s="1165"/>
      <c r="E1" s="1165"/>
      <c r="F1" s="1165"/>
      <c r="G1" s="1165"/>
      <c r="H1" s="1165"/>
      <c r="I1" s="1166"/>
    </row>
    <row r="2" spans="1:9">
      <c r="A2" s="67"/>
      <c r="B2" s="68"/>
      <c r="C2" s="68"/>
      <c r="D2" s="68"/>
      <c r="E2" s="68"/>
      <c r="F2" s="68"/>
      <c r="G2" s="68"/>
      <c r="H2" s="68"/>
      <c r="I2" s="80"/>
    </row>
    <row r="3" spans="1:9" ht="30" customHeight="1" thickBot="1">
      <c r="A3" s="128" t="s">
        <v>2</v>
      </c>
      <c r="B3" s="129" t="s">
        <v>3</v>
      </c>
      <c r="C3" s="129" t="s">
        <v>4</v>
      </c>
      <c r="D3" s="130" t="s">
        <v>5</v>
      </c>
      <c r="E3" s="129" t="s">
        <v>6</v>
      </c>
      <c r="F3" s="129" t="s">
        <v>7</v>
      </c>
      <c r="G3" s="129" t="s">
        <v>8</v>
      </c>
      <c r="H3" s="129" t="s">
        <v>9</v>
      </c>
      <c r="I3" s="172" t="s">
        <v>10</v>
      </c>
    </row>
    <row r="4" spans="1:9" s="63" customFormat="1" ht="45" customHeight="1">
      <c r="A4" s="136">
        <v>1</v>
      </c>
      <c r="B4" s="137" t="s">
        <v>1201</v>
      </c>
      <c r="C4" s="137">
        <v>62344430</v>
      </c>
      <c r="D4" s="138" t="s">
        <v>3553</v>
      </c>
      <c r="E4" s="139">
        <v>32267</v>
      </c>
      <c r="F4" s="140" t="s">
        <v>13</v>
      </c>
      <c r="G4" s="141"/>
      <c r="H4" s="142" t="s">
        <v>903</v>
      </c>
      <c r="I4" s="174"/>
    </row>
    <row r="5" spans="1:9" ht="45" customHeight="1">
      <c r="A5" s="143">
        <v>2</v>
      </c>
      <c r="B5" s="144" t="s">
        <v>1202</v>
      </c>
      <c r="C5" s="144">
        <v>62731555</v>
      </c>
      <c r="D5" s="145" t="s">
        <v>3554</v>
      </c>
      <c r="E5" s="146">
        <v>206498</v>
      </c>
      <c r="F5" s="147" t="s">
        <v>13</v>
      </c>
      <c r="G5" s="147"/>
      <c r="H5" s="148" t="s">
        <v>903</v>
      </c>
      <c r="I5" s="175" t="s">
        <v>3603</v>
      </c>
    </row>
    <row r="6" spans="1:9" ht="45" customHeight="1">
      <c r="A6" s="149">
        <v>3</v>
      </c>
      <c r="B6" s="150" t="s">
        <v>1203</v>
      </c>
      <c r="C6" s="150">
        <v>62350443</v>
      </c>
      <c r="D6" s="151" t="s">
        <v>3554</v>
      </c>
      <c r="E6" s="152">
        <v>82449</v>
      </c>
      <c r="F6" s="153" t="s">
        <v>21</v>
      </c>
      <c r="G6" s="153"/>
      <c r="H6" s="154" t="s">
        <v>903</v>
      </c>
      <c r="I6" s="841" t="s">
        <v>3555</v>
      </c>
    </row>
    <row r="7" spans="1:9" s="64" customFormat="1" ht="45" customHeight="1">
      <c r="A7" s="143">
        <v>4</v>
      </c>
      <c r="B7" s="155" t="s">
        <v>2123</v>
      </c>
      <c r="C7" s="155" t="s">
        <v>1205</v>
      </c>
      <c r="D7" s="156" t="s">
        <v>1206</v>
      </c>
      <c r="E7" s="146">
        <v>71255</v>
      </c>
      <c r="F7" s="147" t="s">
        <v>13</v>
      </c>
      <c r="G7" s="147">
        <v>9350581521</v>
      </c>
      <c r="H7" s="148" t="s">
        <v>903</v>
      </c>
      <c r="I7" s="176"/>
    </row>
    <row r="8" spans="1:9" ht="45" customHeight="1" thickBot="1">
      <c r="A8" s="149">
        <v>5</v>
      </c>
      <c r="B8" s="150" t="s">
        <v>3819</v>
      </c>
      <c r="C8" s="150">
        <v>13955536</v>
      </c>
      <c r="D8" s="151" t="s">
        <v>2230</v>
      </c>
      <c r="E8" s="152">
        <v>116681</v>
      </c>
      <c r="F8" s="153" t="s">
        <v>17</v>
      </c>
      <c r="G8" s="153">
        <v>9015670552</v>
      </c>
      <c r="H8" s="154" t="s">
        <v>3820</v>
      </c>
      <c r="I8" s="841"/>
    </row>
    <row r="9" spans="1:9" s="62" customFormat="1" ht="45" customHeight="1" thickBot="1">
      <c r="A9" s="897">
        <v>6</v>
      </c>
      <c r="B9" s="898" t="s">
        <v>1214</v>
      </c>
      <c r="C9" s="898">
        <v>14089766</v>
      </c>
      <c r="D9" s="899" t="s">
        <v>2251</v>
      </c>
      <c r="E9" s="900">
        <v>23534</v>
      </c>
      <c r="F9" s="901" t="s">
        <v>17</v>
      </c>
      <c r="G9" s="901">
        <v>8010775622</v>
      </c>
      <c r="H9" s="902"/>
      <c r="I9" s="903"/>
    </row>
    <row r="10" spans="1:9" s="62" customFormat="1" ht="45" customHeight="1">
      <c r="A10" s="143">
        <v>7</v>
      </c>
      <c r="B10" s="144" t="s">
        <v>2288</v>
      </c>
      <c r="C10" s="144">
        <v>14156013</v>
      </c>
      <c r="D10" s="145" t="s">
        <v>2287</v>
      </c>
      <c r="E10" s="146">
        <v>97430</v>
      </c>
      <c r="F10" s="147" t="s">
        <v>13</v>
      </c>
      <c r="G10" s="147">
        <v>9810002411</v>
      </c>
      <c r="H10" s="148"/>
      <c r="I10" s="175"/>
    </row>
    <row r="11" spans="1:9" s="3" customFormat="1" ht="45" customHeight="1" thickBot="1">
      <c r="A11" s="997">
        <v>8</v>
      </c>
      <c r="B11" s="998" t="s">
        <v>1221</v>
      </c>
      <c r="C11" s="998">
        <v>83481174</v>
      </c>
      <c r="D11" s="999" t="s">
        <v>2320</v>
      </c>
      <c r="E11" s="1000">
        <v>37091</v>
      </c>
      <c r="F11" s="1001" t="s">
        <v>1222</v>
      </c>
      <c r="G11" s="1001">
        <v>9115</v>
      </c>
      <c r="H11" s="1002" t="s">
        <v>903</v>
      </c>
      <c r="I11" s="1003"/>
    </row>
    <row r="12" spans="1:9" s="62" customFormat="1" ht="45" customHeight="1">
      <c r="A12" s="136">
        <v>9</v>
      </c>
      <c r="B12" s="157" t="s">
        <v>2484</v>
      </c>
      <c r="C12" s="157">
        <v>68524688</v>
      </c>
      <c r="D12" s="158" t="s">
        <v>991</v>
      </c>
      <c r="E12" s="141">
        <v>72180</v>
      </c>
      <c r="F12" s="140" t="s">
        <v>377</v>
      </c>
      <c r="G12" s="141"/>
      <c r="H12" s="142" t="s">
        <v>903</v>
      </c>
      <c r="I12" s="177"/>
    </row>
    <row r="13" spans="1:9" s="62" customFormat="1" ht="45" customHeight="1">
      <c r="A13" s="69">
        <v>10</v>
      </c>
      <c r="B13" s="159" t="s">
        <v>1223</v>
      </c>
      <c r="C13" s="159">
        <v>68357022</v>
      </c>
      <c r="D13" s="160" t="s">
        <v>991</v>
      </c>
      <c r="E13" s="161">
        <v>60126</v>
      </c>
      <c r="F13" s="162" t="s">
        <v>377</v>
      </c>
      <c r="G13" s="147"/>
      <c r="H13" s="163" t="s">
        <v>903</v>
      </c>
      <c r="I13" s="178"/>
    </row>
    <row r="14" spans="1:9" s="62" customFormat="1" ht="45" customHeight="1">
      <c r="A14" s="164">
        <v>11</v>
      </c>
      <c r="B14" s="165" t="s">
        <v>1224</v>
      </c>
      <c r="C14" s="165">
        <v>68645702</v>
      </c>
      <c r="D14" s="166" t="s">
        <v>1225</v>
      </c>
      <c r="E14" s="167">
        <v>72180</v>
      </c>
      <c r="F14" s="168" t="s">
        <v>377</v>
      </c>
      <c r="G14" s="153"/>
      <c r="H14" s="169" t="s">
        <v>903</v>
      </c>
      <c r="I14" s="179"/>
    </row>
    <row r="15" spans="1:9" s="64" customFormat="1" ht="45" customHeight="1">
      <c r="A15" s="143">
        <v>12</v>
      </c>
      <c r="B15" s="170" t="s">
        <v>3034</v>
      </c>
      <c r="C15" s="144">
        <v>92912070</v>
      </c>
      <c r="D15" s="156" t="s">
        <v>3035</v>
      </c>
      <c r="E15" s="649">
        <v>20172</v>
      </c>
      <c r="F15" s="147" t="s">
        <v>13</v>
      </c>
      <c r="G15" s="147">
        <v>7230</v>
      </c>
      <c r="H15" s="148" t="s">
        <v>878</v>
      </c>
      <c r="I15" s="176"/>
    </row>
    <row r="16" spans="1:9" s="64" customFormat="1" ht="45" customHeight="1" thickBot="1">
      <c r="A16" s="650">
        <v>13</v>
      </c>
      <c r="B16" s="170" t="s">
        <v>1226</v>
      </c>
      <c r="C16" s="170">
        <v>92175443</v>
      </c>
      <c r="D16" s="651" t="s">
        <v>3035</v>
      </c>
      <c r="E16" s="649">
        <v>47891</v>
      </c>
      <c r="F16" s="652" t="s">
        <v>21</v>
      </c>
      <c r="G16" s="652"/>
      <c r="H16" s="653" t="s">
        <v>878</v>
      </c>
      <c r="I16" s="654"/>
    </row>
    <row r="17" spans="1:9" s="64" customFormat="1" ht="45" customHeight="1">
      <c r="A17" s="136">
        <v>14</v>
      </c>
      <c r="B17" s="137" t="s">
        <v>1228</v>
      </c>
      <c r="C17" s="137" t="s">
        <v>3403</v>
      </c>
      <c r="D17" s="138" t="s">
        <v>3348</v>
      </c>
      <c r="E17" s="139">
        <v>9986</v>
      </c>
      <c r="F17" s="139" t="s">
        <v>1229</v>
      </c>
      <c r="G17" s="141"/>
      <c r="H17" s="142" t="s">
        <v>903</v>
      </c>
      <c r="I17" s="174"/>
    </row>
    <row r="18" spans="1:9" s="64" customFormat="1" ht="45" customHeight="1" thickBot="1">
      <c r="A18" s="143">
        <v>15</v>
      </c>
      <c r="B18" s="144" t="s">
        <v>1230</v>
      </c>
      <c r="C18" s="144">
        <v>49634195</v>
      </c>
      <c r="D18" s="156" t="s">
        <v>3177</v>
      </c>
      <c r="E18" s="146">
        <v>74747</v>
      </c>
      <c r="F18" s="147" t="s">
        <v>377</v>
      </c>
      <c r="G18" s="147">
        <v>8851988700</v>
      </c>
      <c r="H18" s="148" t="s">
        <v>1231</v>
      </c>
      <c r="I18" s="176"/>
    </row>
    <row r="19" spans="1:9" s="65" customFormat="1" ht="40" customHeight="1" thickBot="1">
      <c r="A19" s="1164" t="s">
        <v>1234</v>
      </c>
      <c r="B19" s="1165"/>
      <c r="C19" s="1165"/>
      <c r="D19" s="1165"/>
      <c r="E19" s="78">
        <f>SUM(E4:E18)</f>
        <v>1024487</v>
      </c>
      <c r="F19" s="1165"/>
      <c r="G19" s="1165"/>
      <c r="H19" s="1165"/>
      <c r="I19" s="1166"/>
    </row>
    <row r="20" spans="1:9" ht="35.15" customHeight="1">
      <c r="B20" s="3"/>
      <c r="C20" s="105"/>
      <c r="E20" s="79">
        <f>E19/100000</f>
        <v>10.244870000000001</v>
      </c>
    </row>
    <row r="21" spans="1:9" s="127" customFormat="1" ht="21.75" customHeight="1">
      <c r="F21" s="171"/>
      <c r="G21" s="171"/>
    </row>
    <row r="22" spans="1:9" ht="21.75" customHeight="1"/>
  </sheetData>
  <mergeCells count="3">
    <mergeCell ref="A1:I1"/>
    <mergeCell ref="A19:D19"/>
    <mergeCell ref="F19:I19"/>
  </mergeCells>
  <pageMargins left="0.25" right="0" top="0.5" bottom="0" header="0" footer="0"/>
  <pageSetup scale="60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AL19"/>
  <sheetViews>
    <sheetView topLeftCell="A3" zoomScale="70" zoomScaleNormal="70" workbookViewId="0">
      <selection activeCell="E7" sqref="E7"/>
    </sheetView>
  </sheetViews>
  <sheetFormatPr defaultColWidth="9.1796875" defaultRowHeight="25" customHeight="1"/>
  <cols>
    <col min="1" max="1" width="5.54296875" style="1" bestFit="1" customWidth="1"/>
    <col min="2" max="2" width="34.08984375" style="3" bestFit="1" customWidth="1"/>
    <col min="3" max="3" width="65.90625" style="66" customWidth="1"/>
    <col min="4" max="4" width="17.90625" style="1" bestFit="1" customWidth="1"/>
    <col min="5" max="5" width="13.36328125" style="1" bestFit="1" customWidth="1"/>
    <col min="6" max="6" width="14.08984375" style="66" customWidth="1"/>
    <col min="7" max="7" width="15.6328125" style="66" bestFit="1" customWidth="1"/>
    <col min="8" max="8" width="35.81640625" style="1" bestFit="1" customWidth="1"/>
    <col min="9" max="9" width="4.453125" style="1" customWidth="1"/>
    <col min="10" max="16384" width="9.1796875" style="1"/>
  </cols>
  <sheetData>
    <row r="1" spans="1:38" ht="40" customHeight="1">
      <c r="A1" s="1173" t="s">
        <v>1235</v>
      </c>
      <c r="B1" s="1174"/>
      <c r="C1" s="1174"/>
      <c r="D1" s="1174"/>
      <c r="E1" s="1174"/>
      <c r="F1" s="1174"/>
      <c r="G1" s="1174"/>
      <c r="H1" s="1175"/>
    </row>
    <row r="2" spans="1:38">
      <c r="A2" s="1176"/>
      <c r="B2" s="1177"/>
      <c r="C2" s="1177"/>
      <c r="D2" s="1177"/>
      <c r="E2" s="1177"/>
      <c r="F2" s="1177"/>
      <c r="G2" s="1177"/>
      <c r="H2" s="1178"/>
    </row>
    <row r="3" spans="1:38" s="114" customFormat="1" ht="30" customHeight="1" thickBot="1">
      <c r="A3" s="115" t="s">
        <v>2</v>
      </c>
      <c r="B3" s="116" t="s">
        <v>1236</v>
      </c>
      <c r="C3" s="116" t="s">
        <v>4</v>
      </c>
      <c r="D3" s="916" t="s">
        <v>5</v>
      </c>
      <c r="E3" s="918" t="s">
        <v>6</v>
      </c>
      <c r="F3" s="917" t="s">
        <v>7</v>
      </c>
      <c r="G3" s="116" t="s">
        <v>8</v>
      </c>
      <c r="H3" s="117" t="s">
        <v>10</v>
      </c>
    </row>
    <row r="4" spans="1:38" ht="40" customHeight="1">
      <c r="A4" s="781">
        <v>1</v>
      </c>
      <c r="B4" s="778" t="s">
        <v>1266</v>
      </c>
      <c r="C4" s="782" t="s">
        <v>3458</v>
      </c>
      <c r="D4" s="904" t="s">
        <v>3445</v>
      </c>
      <c r="E4" s="912">
        <v>31589</v>
      </c>
      <c r="F4" s="908" t="s">
        <v>17</v>
      </c>
      <c r="G4" s="783">
        <v>9953018192</v>
      </c>
      <c r="H4" s="784" t="s">
        <v>579</v>
      </c>
    </row>
    <row r="5" spans="1:38" ht="40" customHeight="1">
      <c r="A5" s="118">
        <v>2</v>
      </c>
      <c r="B5" s="120" t="s">
        <v>1245</v>
      </c>
      <c r="C5" s="121" t="s">
        <v>3585</v>
      </c>
      <c r="D5" s="905" t="s">
        <v>3407</v>
      </c>
      <c r="E5" s="567">
        <v>22163</v>
      </c>
      <c r="F5" s="909" t="s">
        <v>13</v>
      </c>
      <c r="G5" s="124">
        <v>9748553004</v>
      </c>
      <c r="H5" s="125" t="s">
        <v>1246</v>
      </c>
    </row>
    <row r="6" spans="1:38" ht="40" customHeight="1">
      <c r="A6" s="118">
        <v>3</v>
      </c>
      <c r="B6" s="120" t="s">
        <v>2106</v>
      </c>
      <c r="C6" s="121" t="s">
        <v>2105</v>
      </c>
      <c r="D6" s="905" t="s">
        <v>2104</v>
      </c>
      <c r="E6" s="567">
        <v>82443</v>
      </c>
      <c r="F6" s="909" t="s">
        <v>29</v>
      </c>
      <c r="G6" s="124">
        <v>7021724190</v>
      </c>
      <c r="H6" s="125" t="s">
        <v>2129</v>
      </c>
    </row>
    <row r="7" spans="1:38" s="3" customFormat="1" ht="40" customHeight="1" thickBot="1">
      <c r="A7" s="865">
        <v>4</v>
      </c>
      <c r="B7" s="866" t="s">
        <v>1252</v>
      </c>
      <c r="C7" s="867" t="s">
        <v>2137</v>
      </c>
      <c r="D7" s="907" t="s">
        <v>551</v>
      </c>
      <c r="E7" s="914">
        <v>15923</v>
      </c>
      <c r="F7" s="911" t="s">
        <v>13</v>
      </c>
      <c r="G7" s="858">
        <v>9310797888</v>
      </c>
      <c r="H7" s="868" t="s">
        <v>2117</v>
      </c>
    </row>
    <row r="8" spans="1:38" s="65" customFormat="1" ht="40" customHeight="1" thickBot="1">
      <c r="A8" s="1179" t="s">
        <v>1267</v>
      </c>
      <c r="B8" s="1180"/>
      <c r="C8" s="1180"/>
      <c r="D8" s="1181"/>
      <c r="E8" s="915">
        <f>SUM(E4:E7)</f>
        <v>152118</v>
      </c>
      <c r="F8" s="1182"/>
      <c r="G8" s="1180"/>
      <c r="H8" s="1183"/>
    </row>
    <row r="9" spans="1:38" ht="40" customHeight="1" thickBot="1">
      <c r="C9" s="105"/>
      <c r="E9" s="568">
        <f>E8/100000</f>
        <v>1.52118</v>
      </c>
    </row>
    <row r="10" spans="1:38" ht="40" customHeight="1" thickBot="1"/>
    <row r="11" spans="1:38" ht="40" customHeight="1" thickBot="1">
      <c r="A11" s="1167" t="s">
        <v>2132</v>
      </c>
      <c r="B11" s="1168"/>
      <c r="C11" s="1168"/>
      <c r="D11" s="1168"/>
      <c r="E11" s="1168"/>
      <c r="F11" s="1168"/>
      <c r="G11" s="1168"/>
      <c r="H11" s="1169"/>
    </row>
    <row r="12" spans="1:38" ht="13.5" thickBot="1">
      <c r="A12" s="67"/>
      <c r="B12" s="68"/>
      <c r="C12" s="68"/>
      <c r="D12" s="68"/>
      <c r="E12" s="68"/>
      <c r="F12" s="68"/>
      <c r="G12" s="68"/>
      <c r="H12" s="80"/>
    </row>
    <row r="13" spans="1:38" s="114" customFormat="1" ht="40" customHeight="1" thickBot="1">
      <c r="A13" s="558" t="s">
        <v>2</v>
      </c>
      <c r="B13" s="559" t="s">
        <v>3</v>
      </c>
      <c r="C13" s="559" t="s">
        <v>4</v>
      </c>
      <c r="D13" s="560" t="s">
        <v>5</v>
      </c>
      <c r="E13" s="561" t="s">
        <v>1101</v>
      </c>
      <c r="F13" s="562" t="s">
        <v>7</v>
      </c>
      <c r="G13" s="563" t="s">
        <v>8</v>
      </c>
      <c r="H13" s="564" t="s">
        <v>10</v>
      </c>
    </row>
    <row r="14" spans="1:38" s="443" customFormat="1" ht="50.15" customHeight="1">
      <c r="A14" s="472">
        <v>1</v>
      </c>
      <c r="B14" s="565" t="s">
        <v>3725</v>
      </c>
      <c r="C14" s="195" t="s">
        <v>3726</v>
      </c>
      <c r="D14" s="566" t="s">
        <v>3699</v>
      </c>
      <c r="E14" s="567">
        <v>20452</v>
      </c>
      <c r="F14" s="69" t="s">
        <v>223</v>
      </c>
      <c r="G14" s="442"/>
      <c r="H14" s="178" t="s">
        <v>3088</v>
      </c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</row>
    <row r="15" spans="1:38" s="443" customFormat="1" ht="50.15" customHeight="1">
      <c r="A15" s="472">
        <v>2</v>
      </c>
      <c r="B15" s="565" t="s">
        <v>2133</v>
      </c>
      <c r="C15" s="159" t="s">
        <v>3758</v>
      </c>
      <c r="D15" s="566" t="s">
        <v>3655</v>
      </c>
      <c r="E15" s="567">
        <v>12683</v>
      </c>
      <c r="F15" s="69" t="s">
        <v>13</v>
      </c>
      <c r="G15" s="442"/>
      <c r="H15" s="178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</row>
    <row r="16" spans="1:38" s="443" customFormat="1" ht="50.15" customHeight="1">
      <c r="A16" s="472">
        <v>3</v>
      </c>
      <c r="B16" s="565" t="s">
        <v>2139</v>
      </c>
      <c r="C16" s="195"/>
      <c r="D16" s="566" t="s">
        <v>2138</v>
      </c>
      <c r="E16" s="567">
        <v>965</v>
      </c>
      <c r="F16" s="69" t="s">
        <v>17</v>
      </c>
      <c r="G16" s="442"/>
      <c r="H16" s="178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</row>
    <row r="17" spans="1:38" s="443" customFormat="1" ht="50.15" customHeight="1" thickBot="1">
      <c r="A17" s="472">
        <v>4</v>
      </c>
      <c r="B17" s="565" t="s">
        <v>545</v>
      </c>
      <c r="C17" s="195" t="s">
        <v>3727</v>
      </c>
      <c r="D17" s="566" t="s">
        <v>2289</v>
      </c>
      <c r="E17" s="567">
        <v>6195</v>
      </c>
      <c r="F17" s="69">
        <v>11290000</v>
      </c>
      <c r="G17" s="442">
        <v>9810246109</v>
      </c>
      <c r="H17" s="178" t="s">
        <v>459</v>
      </c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</row>
    <row r="18" spans="1:38" s="90" customFormat="1" ht="40" customHeight="1" thickBot="1">
      <c r="A18" s="1170"/>
      <c r="B18" s="1171"/>
      <c r="C18" s="1171"/>
      <c r="D18" s="1171"/>
      <c r="E18" s="465">
        <f>SUM(E14:E17)</f>
        <v>40295</v>
      </c>
      <c r="F18" s="1171"/>
      <c r="G18" s="1171"/>
      <c r="H18" s="1172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</row>
    <row r="19" spans="1:38" ht="40" customHeight="1" thickBot="1">
      <c r="B19" s="66"/>
      <c r="C19" s="1"/>
      <c r="E19" s="464">
        <f>E18/100000</f>
        <v>0.40294999999999997</v>
      </c>
    </row>
  </sheetData>
  <mergeCells count="7">
    <mergeCell ref="A11:H11"/>
    <mergeCell ref="A18:D18"/>
    <mergeCell ref="F18:H18"/>
    <mergeCell ref="A1:H1"/>
    <mergeCell ref="A2:H2"/>
    <mergeCell ref="A8:D8"/>
    <mergeCell ref="F8:H8"/>
  </mergeCells>
  <pageMargins left="0.25" right="0" top="0.5" bottom="0" header="0" footer="0"/>
  <pageSetup scale="65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J51"/>
  <sheetViews>
    <sheetView topLeftCell="A46" workbookViewId="0">
      <selection activeCell="B12" sqref="B12"/>
    </sheetView>
  </sheetViews>
  <sheetFormatPr defaultColWidth="9.1796875" defaultRowHeight="13"/>
  <cols>
    <col min="1" max="1" width="4.90625" style="1" bestFit="1" customWidth="1"/>
    <col min="2" max="2" width="29.36328125" style="91" bestFit="1" customWidth="1"/>
    <col min="3" max="3" width="10.7265625" style="92" customWidth="1"/>
    <col min="4" max="4" width="6.81640625" style="92" bestFit="1" customWidth="1"/>
    <col min="5" max="5" width="14.6328125" style="3" customWidth="1"/>
    <col min="6" max="6" width="13.7265625" style="3" bestFit="1" customWidth="1"/>
    <col min="7" max="7" width="12.453125" style="92" bestFit="1" customWidth="1"/>
    <col min="8" max="8" width="13.54296875" style="92" customWidth="1"/>
    <col min="9" max="9" width="25.453125" style="3" customWidth="1"/>
    <col min="10" max="10" width="36.36328125" style="3" customWidth="1"/>
    <col min="11" max="11" width="4.453125" style="3" customWidth="1"/>
    <col min="12" max="12" width="10.54296875" style="3" customWidth="1"/>
    <col min="13" max="16384" width="9.1796875" style="3"/>
  </cols>
  <sheetData>
    <row r="1" spans="1:10" s="1" customFormat="1" ht="25" customHeight="1" thickBot="1">
      <c r="A1" s="1187" t="s">
        <v>3005</v>
      </c>
      <c r="B1" s="1188"/>
      <c r="C1" s="1188"/>
      <c r="D1" s="1188"/>
      <c r="E1" s="1188"/>
      <c r="F1" s="1188"/>
      <c r="G1" s="1188"/>
      <c r="H1" s="1188"/>
      <c r="I1" s="1188"/>
      <c r="J1" s="1189"/>
    </row>
    <row r="2" spans="1:10" s="1" customFormat="1" ht="13.5" thickBot="1">
      <c r="A2" s="1190"/>
      <c r="B2" s="1191"/>
      <c r="C2" s="1191"/>
      <c r="D2" s="1191"/>
      <c r="E2" s="1191"/>
      <c r="F2" s="1191"/>
      <c r="G2" s="1191"/>
      <c r="H2" s="1191"/>
      <c r="I2" s="1191"/>
      <c r="J2" s="1192"/>
    </row>
    <row r="3" spans="1:10" s="1" customFormat="1" ht="25" customHeight="1" thickBot="1">
      <c r="A3" s="47" t="s">
        <v>2</v>
      </c>
      <c r="B3" s="48" t="s">
        <v>3</v>
      </c>
      <c r="C3" s="49" t="s">
        <v>1269</v>
      </c>
      <c r="D3" s="49" t="s">
        <v>1270</v>
      </c>
      <c r="E3" s="49" t="s">
        <v>5</v>
      </c>
      <c r="F3" s="48" t="s">
        <v>6</v>
      </c>
      <c r="G3" s="49" t="s">
        <v>7</v>
      </c>
      <c r="H3" s="48" t="s">
        <v>8</v>
      </c>
      <c r="I3" s="48" t="s">
        <v>9</v>
      </c>
      <c r="J3" s="50" t="s">
        <v>10</v>
      </c>
    </row>
    <row r="4" spans="1:10" s="1" customFormat="1" ht="28" customHeight="1">
      <c r="A4" s="448">
        <v>1</v>
      </c>
      <c r="B4" s="20" t="s">
        <v>1271</v>
      </c>
      <c r="C4" s="672">
        <v>22141497</v>
      </c>
      <c r="D4" s="672" t="s">
        <v>1272</v>
      </c>
      <c r="E4" s="719" t="s">
        <v>3418</v>
      </c>
      <c r="F4" s="672">
        <v>43650</v>
      </c>
      <c r="G4" s="672" t="s">
        <v>1273</v>
      </c>
      <c r="H4" s="672">
        <v>9971888790</v>
      </c>
      <c r="I4" s="257" t="s">
        <v>3666</v>
      </c>
      <c r="J4" s="547"/>
    </row>
    <row r="5" spans="1:10" s="1" customFormat="1" ht="28" customHeight="1">
      <c r="A5" s="13">
        <v>2</v>
      </c>
      <c r="B5" s="20" t="s">
        <v>582</v>
      </c>
      <c r="C5" s="17">
        <v>24533486</v>
      </c>
      <c r="D5" s="17" t="s">
        <v>1272</v>
      </c>
      <c r="E5" s="15" t="s">
        <v>3418</v>
      </c>
      <c r="F5" s="17">
        <v>100000</v>
      </c>
      <c r="G5" s="541">
        <v>12.2</v>
      </c>
      <c r="H5" s="17">
        <v>9811331212</v>
      </c>
      <c r="I5" s="14" t="s">
        <v>3666</v>
      </c>
      <c r="J5" s="18" t="s">
        <v>2773</v>
      </c>
    </row>
    <row r="6" spans="1:10" s="1" customFormat="1" ht="28" customHeight="1">
      <c r="A6" s="13">
        <v>3</v>
      </c>
      <c r="B6" s="20" t="s">
        <v>1274</v>
      </c>
      <c r="C6" s="17">
        <v>22178131</v>
      </c>
      <c r="D6" s="17" t="s">
        <v>1272</v>
      </c>
      <c r="E6" s="15" t="s">
        <v>3438</v>
      </c>
      <c r="F6" s="17">
        <v>39075</v>
      </c>
      <c r="G6" s="541">
        <v>1.41</v>
      </c>
      <c r="H6" s="17">
        <v>9999019118</v>
      </c>
      <c r="I6" s="14" t="s">
        <v>3666</v>
      </c>
      <c r="J6" s="18"/>
    </row>
    <row r="7" spans="1:10" s="1" customFormat="1" ht="28" customHeight="1">
      <c r="A7" s="13">
        <v>4</v>
      </c>
      <c r="B7" s="20" t="s">
        <v>1276</v>
      </c>
      <c r="C7" s="17">
        <v>22196742</v>
      </c>
      <c r="D7" s="17" t="s">
        <v>1272</v>
      </c>
      <c r="E7" s="15" t="s">
        <v>3473</v>
      </c>
      <c r="F7" s="17">
        <v>77849</v>
      </c>
      <c r="G7" s="541" t="s">
        <v>1277</v>
      </c>
      <c r="H7" s="17">
        <v>9811211929</v>
      </c>
      <c r="I7" s="14" t="s">
        <v>3666</v>
      </c>
      <c r="J7" s="18"/>
    </row>
    <row r="8" spans="1:10" s="1" customFormat="1" ht="28" customHeight="1">
      <c r="A8" s="13">
        <v>5</v>
      </c>
      <c r="B8" s="20" t="s">
        <v>1278</v>
      </c>
      <c r="C8" s="17">
        <v>22189291</v>
      </c>
      <c r="D8" s="17" t="s">
        <v>1272</v>
      </c>
      <c r="E8" s="15" t="s">
        <v>886</v>
      </c>
      <c r="F8" s="17">
        <v>61895</v>
      </c>
      <c r="G8" s="541" t="s">
        <v>1273</v>
      </c>
      <c r="H8" s="17">
        <v>9313746710</v>
      </c>
      <c r="I8" s="14" t="s">
        <v>3666</v>
      </c>
      <c r="J8" s="18"/>
    </row>
    <row r="9" spans="1:10" s="1" customFormat="1" ht="28" customHeight="1">
      <c r="A9" s="13">
        <v>6</v>
      </c>
      <c r="B9" s="20" t="s">
        <v>582</v>
      </c>
      <c r="C9" s="17">
        <v>24524104</v>
      </c>
      <c r="D9" s="17" t="s">
        <v>1272</v>
      </c>
      <c r="E9" s="15" t="s">
        <v>3461</v>
      </c>
      <c r="F9" s="17">
        <v>43825</v>
      </c>
      <c r="G9" s="541">
        <v>1.85</v>
      </c>
      <c r="H9" s="17">
        <v>9811331212</v>
      </c>
      <c r="I9" s="14" t="s">
        <v>3666</v>
      </c>
      <c r="J9" s="18" t="s">
        <v>2773</v>
      </c>
    </row>
    <row r="10" spans="1:10" s="1" customFormat="1" ht="28" customHeight="1">
      <c r="A10" s="13">
        <v>7</v>
      </c>
      <c r="B10" s="20" t="s">
        <v>1280</v>
      </c>
      <c r="C10" s="17">
        <v>24610791</v>
      </c>
      <c r="D10" s="17" t="s">
        <v>1272</v>
      </c>
      <c r="E10" s="15" t="s">
        <v>3663</v>
      </c>
      <c r="F10" s="17">
        <v>125454</v>
      </c>
      <c r="G10" s="16">
        <v>5688363</v>
      </c>
      <c r="H10" s="17">
        <v>7011605369</v>
      </c>
      <c r="I10" s="14" t="s">
        <v>3666</v>
      </c>
      <c r="J10" s="18"/>
    </row>
    <row r="11" spans="1:10" s="1" customFormat="1" ht="32" customHeight="1">
      <c r="A11" s="13">
        <v>8</v>
      </c>
      <c r="B11" s="20" t="s">
        <v>1281</v>
      </c>
      <c r="C11" s="17">
        <v>22233912</v>
      </c>
      <c r="D11" s="17" t="s">
        <v>1272</v>
      </c>
      <c r="E11" s="15" t="s">
        <v>417</v>
      </c>
      <c r="F11" s="17">
        <v>98427</v>
      </c>
      <c r="G11" s="16">
        <v>23532800</v>
      </c>
      <c r="H11" s="17">
        <v>9811577747</v>
      </c>
      <c r="I11" s="14" t="s">
        <v>3666</v>
      </c>
      <c r="J11" s="540"/>
    </row>
    <row r="12" spans="1:10" ht="28" customHeight="1">
      <c r="A12" s="13">
        <v>9</v>
      </c>
      <c r="B12" s="572" t="s">
        <v>2100</v>
      </c>
      <c r="C12" s="29">
        <v>28883764</v>
      </c>
      <c r="D12" s="29" t="s">
        <v>1272</v>
      </c>
      <c r="E12" s="591" t="s">
        <v>944</v>
      </c>
      <c r="F12" s="29">
        <v>94494</v>
      </c>
      <c r="G12" s="463" t="s">
        <v>1273</v>
      </c>
      <c r="H12" s="29">
        <v>8527855739</v>
      </c>
      <c r="I12" s="572" t="s">
        <v>3664</v>
      </c>
      <c r="J12" s="920"/>
    </row>
    <row r="13" spans="1:10" ht="28" customHeight="1">
      <c r="A13" s="13">
        <v>10</v>
      </c>
      <c r="B13" s="572" t="s">
        <v>789</v>
      </c>
      <c r="C13" s="919">
        <v>22357196</v>
      </c>
      <c r="D13" s="919" t="s">
        <v>1272</v>
      </c>
      <c r="E13" s="921" t="s">
        <v>2319</v>
      </c>
      <c r="F13" s="29">
        <v>67833</v>
      </c>
      <c r="G13" s="919" t="s">
        <v>427</v>
      </c>
      <c r="H13" s="919">
        <v>9891378863</v>
      </c>
      <c r="I13" s="573" t="s">
        <v>3666</v>
      </c>
      <c r="J13" s="920"/>
    </row>
    <row r="14" spans="1:10" ht="28" customHeight="1">
      <c r="A14" s="13">
        <v>11</v>
      </c>
      <c r="B14" s="572" t="s">
        <v>1283</v>
      </c>
      <c r="C14" s="919">
        <v>25830770</v>
      </c>
      <c r="D14" s="919" t="s">
        <v>1272</v>
      </c>
      <c r="E14" s="921" t="s">
        <v>2115</v>
      </c>
      <c r="F14" s="29">
        <v>135597</v>
      </c>
      <c r="G14" s="919" t="s">
        <v>1273</v>
      </c>
      <c r="H14" s="919">
        <v>8285550154</v>
      </c>
      <c r="I14" s="573" t="s">
        <v>3666</v>
      </c>
      <c r="J14" s="920"/>
    </row>
    <row r="15" spans="1:10" s="1" customFormat="1" ht="28" customHeight="1">
      <c r="A15" s="13">
        <v>12</v>
      </c>
      <c r="B15" s="20" t="s">
        <v>1286</v>
      </c>
      <c r="C15" s="17">
        <v>23601513</v>
      </c>
      <c r="D15" s="17" t="s">
        <v>1272</v>
      </c>
      <c r="E15" s="15" t="s">
        <v>2196</v>
      </c>
      <c r="F15" s="17">
        <v>187701</v>
      </c>
      <c r="G15" s="16" t="s">
        <v>1273</v>
      </c>
      <c r="H15" s="17">
        <v>9717848718</v>
      </c>
      <c r="I15" s="14" t="s">
        <v>3664</v>
      </c>
      <c r="J15" s="540"/>
    </row>
    <row r="16" spans="1:10" s="1" customFormat="1" ht="28" customHeight="1">
      <c r="A16" s="13">
        <v>13</v>
      </c>
      <c r="B16" s="20" t="s">
        <v>1285</v>
      </c>
      <c r="C16" s="17">
        <v>22498929</v>
      </c>
      <c r="D16" s="17" t="s">
        <v>1272</v>
      </c>
      <c r="E16" s="15" t="s">
        <v>2193</v>
      </c>
      <c r="F16" s="17">
        <v>25542</v>
      </c>
      <c r="G16" s="16" t="s">
        <v>427</v>
      </c>
      <c r="H16" s="17">
        <v>9999381209</v>
      </c>
      <c r="I16" s="14" t="s">
        <v>3664</v>
      </c>
      <c r="J16" s="540"/>
    </row>
    <row r="17" spans="1:10" s="1" customFormat="1" ht="28" customHeight="1">
      <c r="A17" s="13">
        <v>14</v>
      </c>
      <c r="B17" s="20" t="s">
        <v>1287</v>
      </c>
      <c r="C17" s="17">
        <v>22520407</v>
      </c>
      <c r="D17" s="17" t="s">
        <v>1272</v>
      </c>
      <c r="E17" s="15" t="s">
        <v>2318</v>
      </c>
      <c r="F17" s="17">
        <v>33721</v>
      </c>
      <c r="G17" s="16" t="s">
        <v>1288</v>
      </c>
      <c r="H17" s="17">
        <v>9560544278</v>
      </c>
      <c r="I17" s="14" t="s">
        <v>3664</v>
      </c>
      <c r="J17" s="18" t="s">
        <v>2773</v>
      </c>
    </row>
    <row r="18" spans="1:10" s="1" customFormat="1" ht="28" customHeight="1">
      <c r="A18" s="13">
        <v>15</v>
      </c>
      <c r="B18" s="20" t="s">
        <v>1289</v>
      </c>
      <c r="C18" s="17">
        <v>24942241</v>
      </c>
      <c r="D18" s="17" t="s">
        <v>1272</v>
      </c>
      <c r="E18" s="15" t="s">
        <v>1117</v>
      </c>
      <c r="F18" s="17">
        <v>214676</v>
      </c>
      <c r="G18" s="16" t="s">
        <v>1273</v>
      </c>
      <c r="H18" s="17">
        <v>9910995283</v>
      </c>
      <c r="I18" s="14" t="s">
        <v>3664</v>
      </c>
      <c r="J18" s="18" t="s">
        <v>2772</v>
      </c>
    </row>
    <row r="19" spans="1:10" s="1" customFormat="1" ht="28" customHeight="1">
      <c r="A19" s="13">
        <v>16</v>
      </c>
      <c r="B19" s="20" t="s">
        <v>1290</v>
      </c>
      <c r="C19" s="17">
        <v>22738612</v>
      </c>
      <c r="D19" s="17" t="s">
        <v>1272</v>
      </c>
      <c r="E19" s="15" t="s">
        <v>2713</v>
      </c>
      <c r="F19" s="17">
        <v>7365</v>
      </c>
      <c r="G19" s="16" t="s">
        <v>1288</v>
      </c>
      <c r="H19" s="17">
        <v>9891414752</v>
      </c>
      <c r="I19" s="14" t="s">
        <v>3664</v>
      </c>
      <c r="J19" s="18"/>
    </row>
    <row r="20" spans="1:10" s="1" customFormat="1" ht="28" customHeight="1">
      <c r="A20" s="13">
        <v>17</v>
      </c>
      <c r="B20" s="20" t="s">
        <v>1291</v>
      </c>
      <c r="C20" s="17">
        <v>27756750</v>
      </c>
      <c r="D20" s="17" t="s">
        <v>1272</v>
      </c>
      <c r="E20" s="15" t="s">
        <v>2688</v>
      </c>
      <c r="F20" s="17">
        <v>68390</v>
      </c>
      <c r="G20" s="16" t="s">
        <v>377</v>
      </c>
      <c r="H20" s="17">
        <v>9899315138</v>
      </c>
      <c r="I20" s="14" t="s">
        <v>3664</v>
      </c>
      <c r="J20" s="18" t="s">
        <v>2772</v>
      </c>
    </row>
    <row r="21" spans="1:10" s="1" customFormat="1" ht="28" customHeight="1">
      <c r="A21" s="13">
        <v>18</v>
      </c>
      <c r="B21" s="20" t="s">
        <v>1292</v>
      </c>
      <c r="C21" s="17">
        <v>24149259</v>
      </c>
      <c r="D21" s="17" t="s">
        <v>1272</v>
      </c>
      <c r="E21" s="15" t="s">
        <v>2793</v>
      </c>
      <c r="F21" s="17">
        <v>100000</v>
      </c>
      <c r="G21" s="16">
        <v>13.3</v>
      </c>
      <c r="H21" s="17">
        <v>7834882919</v>
      </c>
      <c r="I21" s="14" t="s">
        <v>3666</v>
      </c>
      <c r="J21" s="18"/>
    </row>
    <row r="22" spans="1:10" s="1" customFormat="1" ht="28" customHeight="1">
      <c r="A22" s="13">
        <v>19</v>
      </c>
      <c r="B22" s="20" t="s">
        <v>1293</v>
      </c>
      <c r="C22" s="17">
        <v>24159154</v>
      </c>
      <c r="D22" s="17" t="s">
        <v>1272</v>
      </c>
      <c r="E22" s="15" t="s">
        <v>3001</v>
      </c>
      <c r="F22" s="17">
        <v>100000</v>
      </c>
      <c r="G22" s="16">
        <v>11.6</v>
      </c>
      <c r="H22" s="17">
        <v>9911445501</v>
      </c>
      <c r="I22" s="14" t="s">
        <v>3666</v>
      </c>
      <c r="J22" s="18"/>
    </row>
    <row r="23" spans="1:10" s="1" customFormat="1" ht="28" customHeight="1">
      <c r="A23" s="13">
        <v>20</v>
      </c>
      <c r="B23" s="20" t="s">
        <v>1294</v>
      </c>
      <c r="C23" s="17">
        <v>24094502</v>
      </c>
      <c r="D23" s="17" t="s">
        <v>1272</v>
      </c>
      <c r="E23" s="15" t="s">
        <v>3002</v>
      </c>
      <c r="F23" s="17">
        <v>25646</v>
      </c>
      <c r="G23" s="16" t="s">
        <v>427</v>
      </c>
      <c r="H23" s="17">
        <v>8860673252</v>
      </c>
      <c r="I23" s="14" t="s">
        <v>3666</v>
      </c>
      <c r="J23" s="18"/>
    </row>
    <row r="24" spans="1:10" s="1" customFormat="1" ht="28" customHeight="1">
      <c r="A24" s="13">
        <v>21</v>
      </c>
      <c r="B24" s="20" t="s">
        <v>472</v>
      </c>
      <c r="C24" s="17">
        <v>21780859</v>
      </c>
      <c r="D24" s="17" t="s">
        <v>1272</v>
      </c>
      <c r="E24" s="15" t="s">
        <v>2847</v>
      </c>
      <c r="F24" s="17">
        <v>38041</v>
      </c>
      <c r="G24" s="16" t="s">
        <v>377</v>
      </c>
      <c r="H24" s="17">
        <v>9910861927</v>
      </c>
      <c r="I24" s="14" t="s">
        <v>3664</v>
      </c>
      <c r="J24" s="18"/>
    </row>
    <row r="25" spans="1:10" s="1" customFormat="1" ht="28" customHeight="1">
      <c r="A25" s="13">
        <v>22</v>
      </c>
      <c r="B25" s="20" t="s">
        <v>1295</v>
      </c>
      <c r="C25" s="17">
        <v>21854930</v>
      </c>
      <c r="D25" s="17" t="s">
        <v>1272</v>
      </c>
      <c r="E25" s="15" t="s">
        <v>2862</v>
      </c>
      <c r="F25" s="17">
        <v>110479</v>
      </c>
      <c r="G25" s="539" t="s">
        <v>1296</v>
      </c>
      <c r="H25" s="17">
        <v>9810002411</v>
      </c>
      <c r="I25" s="14" t="s">
        <v>3664</v>
      </c>
      <c r="J25" s="540"/>
    </row>
    <row r="26" spans="1:10" s="1" customFormat="1" ht="28" customHeight="1" thickBot="1">
      <c r="A26" s="452">
        <v>23</v>
      </c>
      <c r="B26" s="546" t="s">
        <v>1297</v>
      </c>
      <c r="C26" s="364">
        <v>21850703</v>
      </c>
      <c r="D26" s="364" t="s">
        <v>1272</v>
      </c>
      <c r="E26" s="455" t="s">
        <v>2862</v>
      </c>
      <c r="F26" s="364">
        <v>105184</v>
      </c>
      <c r="G26" s="636" t="s">
        <v>1296</v>
      </c>
      <c r="H26" s="364">
        <v>9810502104</v>
      </c>
      <c r="I26" s="454" t="s">
        <v>3664</v>
      </c>
      <c r="J26" s="637"/>
    </row>
    <row r="30" spans="1:10" ht="13.5" thickBot="1"/>
    <row r="31" spans="1:10" s="1" customFormat="1" ht="25" customHeight="1" thickBot="1">
      <c r="A31" s="630"/>
      <c r="B31" s="631"/>
      <c r="C31" s="631"/>
      <c r="D31" s="631"/>
      <c r="E31" s="631"/>
      <c r="F31" s="631" t="s">
        <v>1268</v>
      </c>
      <c r="G31" s="631"/>
      <c r="H31" s="631"/>
      <c r="I31" s="631"/>
      <c r="J31" s="632"/>
    </row>
    <row r="32" spans="1:10" s="1" customFormat="1" ht="20" customHeight="1" thickBot="1">
      <c r="A32" s="633"/>
      <c r="B32" s="634"/>
      <c r="C32" s="634"/>
      <c r="D32" s="634"/>
      <c r="E32" s="634"/>
      <c r="F32" s="634"/>
      <c r="G32" s="634"/>
      <c r="H32" s="634"/>
      <c r="I32" s="634"/>
      <c r="J32" s="635"/>
    </row>
    <row r="33" spans="1:10" s="1" customFormat="1" ht="25" customHeight="1" thickBot="1">
      <c r="A33" s="47" t="s">
        <v>2</v>
      </c>
      <c r="B33" s="48" t="s">
        <v>3</v>
      </c>
      <c r="C33" s="49" t="s">
        <v>1269</v>
      </c>
      <c r="D33" s="49" t="s">
        <v>1270</v>
      </c>
      <c r="E33" s="49" t="s">
        <v>5</v>
      </c>
      <c r="F33" s="48" t="s">
        <v>6</v>
      </c>
      <c r="G33" s="49" t="s">
        <v>7</v>
      </c>
      <c r="H33" s="48" t="s">
        <v>8</v>
      </c>
      <c r="I33" s="48" t="s">
        <v>10</v>
      </c>
      <c r="J33" s="50" t="s">
        <v>9</v>
      </c>
    </row>
    <row r="34" spans="1:10" s="1" customFormat="1" ht="32" customHeight="1">
      <c r="A34" s="13">
        <v>24</v>
      </c>
      <c r="B34" s="20" t="s">
        <v>1302</v>
      </c>
      <c r="C34" s="17">
        <v>24311410</v>
      </c>
      <c r="D34" s="17" t="s">
        <v>1272</v>
      </c>
      <c r="E34" s="15" t="s">
        <v>3035</v>
      </c>
      <c r="F34" s="17">
        <v>100000</v>
      </c>
      <c r="G34" s="539">
        <v>11.1</v>
      </c>
      <c r="H34" s="17">
        <v>9555959569</v>
      </c>
      <c r="I34" s="922" t="s">
        <v>3665</v>
      </c>
      <c r="J34" s="540"/>
    </row>
    <row r="35" spans="1:10" s="1" customFormat="1" ht="32" customHeight="1">
      <c r="A35" s="13">
        <v>25</v>
      </c>
      <c r="B35" s="20" t="s">
        <v>1292</v>
      </c>
      <c r="C35" s="17">
        <v>24149664</v>
      </c>
      <c r="D35" s="17" t="s">
        <v>1272</v>
      </c>
      <c r="E35" s="15" t="s">
        <v>3147</v>
      </c>
      <c r="F35" s="17">
        <v>50568</v>
      </c>
      <c r="G35" s="16" t="s">
        <v>1303</v>
      </c>
      <c r="H35" s="17">
        <v>7834882919</v>
      </c>
      <c r="I35" s="14" t="s">
        <v>3664</v>
      </c>
      <c r="J35" s="540"/>
    </row>
    <row r="36" spans="1:10" s="1" customFormat="1" ht="32" customHeight="1">
      <c r="A36" s="13">
        <v>26</v>
      </c>
      <c r="B36" s="20" t="s">
        <v>1304</v>
      </c>
      <c r="C36" s="17">
        <v>24322523</v>
      </c>
      <c r="D36" s="17" t="s">
        <v>1272</v>
      </c>
      <c r="E36" s="15" t="s">
        <v>814</v>
      </c>
      <c r="F36" s="17">
        <v>104348</v>
      </c>
      <c r="G36" s="16" t="s">
        <v>1273</v>
      </c>
      <c r="H36" s="17">
        <v>9985371763</v>
      </c>
      <c r="I36" s="14" t="s">
        <v>3665</v>
      </c>
      <c r="J36" s="540"/>
    </row>
    <row r="37" spans="1:10" s="1" customFormat="1" ht="32" customHeight="1">
      <c r="A37" s="13">
        <v>27</v>
      </c>
      <c r="B37" s="572" t="s">
        <v>1305</v>
      </c>
      <c r="C37" s="29">
        <v>23208965</v>
      </c>
      <c r="D37" s="29" t="s">
        <v>1272</v>
      </c>
      <c r="E37" s="591" t="s">
        <v>332</v>
      </c>
      <c r="F37" s="29">
        <v>409000</v>
      </c>
      <c r="G37" s="463" t="s">
        <v>1306</v>
      </c>
      <c r="H37" s="29">
        <v>9811566217</v>
      </c>
      <c r="I37" s="573" t="s">
        <v>3664</v>
      </c>
      <c r="J37" s="540"/>
    </row>
    <row r="38" spans="1:10" s="1" customFormat="1" ht="32" customHeight="1">
      <c r="A38" s="13">
        <v>28</v>
      </c>
      <c r="B38" s="572" t="s">
        <v>1307</v>
      </c>
      <c r="C38" s="29">
        <v>23203425</v>
      </c>
      <c r="D38" s="29" t="s">
        <v>1272</v>
      </c>
      <c r="E38" s="591" t="s">
        <v>332</v>
      </c>
      <c r="F38" s="29">
        <v>204500</v>
      </c>
      <c r="G38" s="463">
        <v>2360000</v>
      </c>
      <c r="H38" s="29">
        <v>8860934386</v>
      </c>
      <c r="I38" s="573" t="s">
        <v>3664</v>
      </c>
      <c r="J38" s="540"/>
    </row>
    <row r="39" spans="1:10" s="1" customFormat="1" ht="32" customHeight="1">
      <c r="A39" s="13">
        <v>29</v>
      </c>
      <c r="B39" s="20" t="s">
        <v>1308</v>
      </c>
      <c r="C39" s="17">
        <v>24364315</v>
      </c>
      <c r="D39" s="17" t="s">
        <v>1272</v>
      </c>
      <c r="E39" s="15" t="s">
        <v>3276</v>
      </c>
      <c r="F39" s="17">
        <v>64209</v>
      </c>
      <c r="G39" s="16" t="s">
        <v>427</v>
      </c>
      <c r="H39" s="17">
        <v>8282850583</v>
      </c>
      <c r="I39" s="14" t="s">
        <v>3665</v>
      </c>
      <c r="J39" s="540"/>
    </row>
    <row r="40" spans="1:10" s="89" customFormat="1" ht="32" customHeight="1">
      <c r="A40" s="13">
        <v>30</v>
      </c>
      <c r="B40" s="629" t="s">
        <v>437</v>
      </c>
      <c r="C40" s="542">
        <v>27163929</v>
      </c>
      <c r="D40" s="542" t="s">
        <v>1309</v>
      </c>
      <c r="E40" s="543" t="s">
        <v>2699</v>
      </c>
      <c r="F40" s="542">
        <v>45472</v>
      </c>
      <c r="G40" s="544" t="s">
        <v>377</v>
      </c>
      <c r="H40" s="542">
        <v>9555097097</v>
      </c>
      <c r="I40" s="545" t="s">
        <v>3665</v>
      </c>
      <c r="J40" s="923" t="s">
        <v>438</v>
      </c>
    </row>
    <row r="41" spans="1:10" s="89" customFormat="1" ht="32" customHeight="1">
      <c r="A41" s="13">
        <v>31</v>
      </c>
      <c r="B41" s="629" t="s">
        <v>1310</v>
      </c>
      <c r="C41" s="542">
        <v>23446028</v>
      </c>
      <c r="D41" s="542" t="s">
        <v>1309</v>
      </c>
      <c r="E41" s="543" t="s">
        <v>3004</v>
      </c>
      <c r="F41" s="542">
        <v>8158</v>
      </c>
      <c r="G41" s="544" t="s">
        <v>427</v>
      </c>
      <c r="H41" s="542">
        <v>9582581887</v>
      </c>
      <c r="I41" s="545" t="s">
        <v>3664</v>
      </c>
      <c r="J41" s="923"/>
    </row>
    <row r="42" spans="1:10" s="89" customFormat="1" ht="32" customHeight="1">
      <c r="A42" s="13">
        <v>32</v>
      </c>
      <c r="B42" s="629" t="s">
        <v>535</v>
      </c>
      <c r="C42" s="542">
        <v>23704198</v>
      </c>
      <c r="D42" s="542" t="s">
        <v>1309</v>
      </c>
      <c r="E42" s="543" t="s">
        <v>3003</v>
      </c>
      <c r="F42" s="542">
        <v>51000</v>
      </c>
      <c r="G42" s="544" t="s">
        <v>1313</v>
      </c>
      <c r="H42" s="542">
        <v>9811773717</v>
      </c>
      <c r="I42" s="545" t="s">
        <v>3665</v>
      </c>
      <c r="J42" s="923"/>
    </row>
    <row r="43" spans="1:10" s="89" customFormat="1" ht="32" customHeight="1">
      <c r="A43" s="13">
        <v>33</v>
      </c>
      <c r="B43" s="629" t="s">
        <v>535</v>
      </c>
      <c r="C43" s="542">
        <v>23704690</v>
      </c>
      <c r="D43" s="542" t="s">
        <v>1309</v>
      </c>
      <c r="E43" s="543" t="s">
        <v>3003</v>
      </c>
      <c r="F43" s="542">
        <v>51000</v>
      </c>
      <c r="G43" s="544" t="s">
        <v>1313</v>
      </c>
      <c r="H43" s="542">
        <v>9811773717</v>
      </c>
      <c r="I43" s="545" t="s">
        <v>3665</v>
      </c>
      <c r="J43" s="923"/>
    </row>
    <row r="44" spans="1:10" s="89" customFormat="1" ht="32" customHeight="1">
      <c r="A44" s="13">
        <v>34</v>
      </c>
      <c r="B44" s="629" t="s">
        <v>1311</v>
      </c>
      <c r="C44" s="542">
        <v>22183981</v>
      </c>
      <c r="D44" s="542" t="s">
        <v>1312</v>
      </c>
      <c r="E44" s="543" t="s">
        <v>20</v>
      </c>
      <c r="F44" s="542">
        <v>6298</v>
      </c>
      <c r="G44" s="544" t="s">
        <v>1288</v>
      </c>
      <c r="H44" s="542">
        <v>9029932951</v>
      </c>
      <c r="I44" s="545" t="s">
        <v>3664</v>
      </c>
      <c r="J44" s="923"/>
    </row>
    <row r="45" spans="1:10" s="1" customFormat="1" ht="32" customHeight="1">
      <c r="A45" s="13">
        <v>35</v>
      </c>
      <c r="B45" s="20" t="s">
        <v>545</v>
      </c>
      <c r="C45" s="33">
        <v>22396166</v>
      </c>
      <c r="D45" s="39" t="s">
        <v>3006</v>
      </c>
      <c r="E45" s="31" t="s">
        <v>64</v>
      </c>
      <c r="F45" s="17">
        <v>31122</v>
      </c>
      <c r="G45" s="33" t="s">
        <v>1284</v>
      </c>
      <c r="H45" s="33">
        <v>7028012721</v>
      </c>
      <c r="I45" s="14" t="s">
        <v>1301</v>
      </c>
      <c r="J45" s="540"/>
    </row>
    <row r="46" spans="1:10" s="1" customFormat="1" ht="32" customHeight="1">
      <c r="A46" s="13">
        <v>36</v>
      </c>
      <c r="B46" s="20" t="s">
        <v>1298</v>
      </c>
      <c r="C46" s="33">
        <v>26629715</v>
      </c>
      <c r="D46" s="39" t="s">
        <v>3006</v>
      </c>
      <c r="E46" s="31" t="s">
        <v>1299</v>
      </c>
      <c r="F46" s="17">
        <v>300000</v>
      </c>
      <c r="G46" s="33">
        <v>7.74</v>
      </c>
      <c r="H46" s="33">
        <v>9873944823</v>
      </c>
      <c r="I46" s="14" t="s">
        <v>1301</v>
      </c>
      <c r="J46" s="540"/>
    </row>
    <row r="47" spans="1:10" s="1" customFormat="1" ht="32" customHeight="1">
      <c r="A47" s="13">
        <v>37</v>
      </c>
      <c r="B47" s="20" t="s">
        <v>1300</v>
      </c>
      <c r="C47" s="33">
        <v>26629723</v>
      </c>
      <c r="D47" s="39" t="s">
        <v>3006</v>
      </c>
      <c r="E47" s="31" t="s">
        <v>1299</v>
      </c>
      <c r="F47" s="17">
        <v>1464215</v>
      </c>
      <c r="G47" s="33">
        <v>2005975</v>
      </c>
      <c r="H47" s="33">
        <v>8459429920</v>
      </c>
      <c r="I47" s="14" t="s">
        <v>1301</v>
      </c>
      <c r="J47" s="540"/>
    </row>
    <row r="48" spans="1:10" s="1" customFormat="1" ht="32" customHeight="1">
      <c r="A48" s="13">
        <v>38</v>
      </c>
      <c r="B48" s="20" t="s">
        <v>2084</v>
      </c>
      <c r="C48" s="33">
        <v>26890956</v>
      </c>
      <c r="D48" s="33" t="s">
        <v>2081</v>
      </c>
      <c r="E48" s="31" t="s">
        <v>2085</v>
      </c>
      <c r="F48" s="17">
        <v>9928</v>
      </c>
      <c r="G48" s="33"/>
      <c r="H48" s="33"/>
      <c r="I48" s="14" t="s">
        <v>2081</v>
      </c>
      <c r="J48" s="540"/>
    </row>
    <row r="49" spans="1:10" s="1" customFormat="1" ht="32" customHeight="1" thickBot="1">
      <c r="A49" s="13">
        <v>39</v>
      </c>
      <c r="B49" s="20" t="s">
        <v>2080</v>
      </c>
      <c r="C49" s="33">
        <v>24851526</v>
      </c>
      <c r="D49" s="33" t="s">
        <v>2081</v>
      </c>
      <c r="E49" s="31" t="s">
        <v>2551</v>
      </c>
      <c r="F49" s="17">
        <v>8946</v>
      </c>
      <c r="G49" s="33"/>
      <c r="H49" s="33"/>
      <c r="I49" s="14" t="s">
        <v>2081</v>
      </c>
      <c r="J49" s="540"/>
    </row>
    <row r="50" spans="1:10" s="90" customFormat="1" ht="30" customHeight="1" thickBot="1">
      <c r="A50" s="1184" t="s">
        <v>1314</v>
      </c>
      <c r="B50" s="1185"/>
      <c r="C50" s="1185"/>
      <c r="D50" s="1185"/>
      <c r="E50" s="1185"/>
      <c r="F50" s="104">
        <f>SUM(F4:F49)</f>
        <v>4813608</v>
      </c>
      <c r="G50" s="1185"/>
      <c r="H50" s="1185"/>
      <c r="I50" s="1185"/>
      <c r="J50" s="1186"/>
    </row>
    <row r="51" spans="1:10" s="1" customFormat="1" ht="30" customHeight="1">
      <c r="B51" s="3"/>
      <c r="C51" s="105"/>
      <c r="E51" s="79"/>
      <c r="F51" s="106">
        <f>F50/100000</f>
        <v>48.13608</v>
      </c>
      <c r="G51" s="66"/>
    </row>
  </sheetData>
  <mergeCells count="4">
    <mergeCell ref="A50:E50"/>
    <mergeCell ref="G50:J50"/>
    <mergeCell ref="A1:J1"/>
    <mergeCell ref="A2:J2"/>
  </mergeCells>
  <pageMargins left="0.25" right="0" top="0" bottom="0" header="0" footer="0"/>
  <pageSetup scale="8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860F-588B-4774-97D5-0A3E633F18D2}">
  <sheetPr>
    <tabColor rgb="FF7030A0"/>
  </sheetPr>
  <dimension ref="A1:L16"/>
  <sheetViews>
    <sheetView topLeftCell="A9" workbookViewId="0">
      <selection activeCell="F10" sqref="F10"/>
    </sheetView>
  </sheetViews>
  <sheetFormatPr defaultColWidth="9.1796875" defaultRowHeight="13"/>
  <cols>
    <col min="1" max="1" width="4.90625" style="1" bestFit="1" customWidth="1"/>
    <col min="2" max="2" width="30.6328125" style="91" customWidth="1"/>
    <col min="3" max="3" width="10.6328125" style="92" customWidth="1"/>
    <col min="4" max="4" width="9.90625" style="92" customWidth="1"/>
    <col min="5" max="5" width="12.36328125" style="3" bestFit="1" customWidth="1"/>
    <col min="6" max="6" width="13.7265625" style="3" bestFit="1" customWidth="1"/>
    <col min="7" max="7" width="12.453125" style="92" bestFit="1" customWidth="1"/>
    <col min="8" max="8" width="13.54296875" style="92" customWidth="1"/>
    <col min="9" max="9" width="24" style="3" customWidth="1"/>
    <col min="10" max="10" width="35" style="3" customWidth="1"/>
    <col min="11" max="11" width="4.453125" style="3" customWidth="1"/>
    <col min="12" max="12" width="10.54296875" style="3" customWidth="1"/>
    <col min="13" max="16384" width="9.1796875" style="3"/>
  </cols>
  <sheetData>
    <row r="1" spans="1:12" ht="27.5" customHeight="1" thickBot="1"/>
    <row r="2" spans="1:12" s="1" customFormat="1" ht="25" customHeight="1" thickBot="1">
      <c r="A2" s="1193" t="s">
        <v>1268</v>
      </c>
      <c r="B2" s="1194"/>
      <c r="C2" s="1194"/>
      <c r="D2" s="1194"/>
      <c r="E2" s="1194"/>
      <c r="F2" s="1194"/>
      <c r="G2" s="1194"/>
      <c r="H2" s="1194"/>
      <c r="I2" s="1194"/>
      <c r="J2" s="1195"/>
    </row>
    <row r="3" spans="1:12" s="1" customFormat="1" ht="25" customHeight="1" thickBot="1">
      <c r="A3" s="1196" t="s">
        <v>2552</v>
      </c>
      <c r="B3" s="1197"/>
      <c r="C3" s="1197"/>
      <c r="D3" s="1197"/>
      <c r="E3" s="1197"/>
      <c r="F3" s="1197"/>
      <c r="G3" s="1197"/>
      <c r="H3" s="1197"/>
      <c r="I3" s="1197"/>
      <c r="J3" s="1198"/>
    </row>
    <row r="4" spans="1:12" s="1" customFormat="1" ht="25" customHeight="1" thickBot="1">
      <c r="A4" s="47" t="s">
        <v>2</v>
      </c>
      <c r="B4" s="48" t="s">
        <v>3</v>
      </c>
      <c r="C4" s="49" t="s">
        <v>1269</v>
      </c>
      <c r="D4" s="49" t="s">
        <v>1270</v>
      </c>
      <c r="E4" s="49" t="s">
        <v>5</v>
      </c>
      <c r="F4" s="48" t="s">
        <v>6</v>
      </c>
      <c r="G4" s="49" t="s">
        <v>7</v>
      </c>
      <c r="H4" s="48" t="s">
        <v>8</v>
      </c>
      <c r="I4" s="48" t="s">
        <v>9</v>
      </c>
      <c r="J4" s="50" t="s">
        <v>10</v>
      </c>
    </row>
    <row r="5" spans="1:12" s="1" customFormat="1" ht="40" customHeight="1">
      <c r="A5" s="93">
        <v>1</v>
      </c>
      <c r="B5" s="21" t="s">
        <v>2553</v>
      </c>
      <c r="C5" s="24">
        <v>29265927</v>
      </c>
      <c r="D5" s="94" t="s">
        <v>2710</v>
      </c>
      <c r="E5" s="95" t="s">
        <v>246</v>
      </c>
      <c r="F5" s="96">
        <v>3289</v>
      </c>
      <c r="G5" s="94" t="s">
        <v>427</v>
      </c>
      <c r="H5" s="94">
        <v>8586948202</v>
      </c>
      <c r="I5" s="107"/>
      <c r="J5" s="108"/>
    </row>
    <row r="6" spans="1:12" s="2" customFormat="1" ht="40" customHeight="1">
      <c r="A6" s="19">
        <v>2</v>
      </c>
      <c r="B6" s="21" t="s">
        <v>2770</v>
      </c>
      <c r="C6" s="24">
        <v>29549742</v>
      </c>
      <c r="D6" s="97" t="s">
        <v>2771</v>
      </c>
      <c r="E6" s="98" t="s">
        <v>2642</v>
      </c>
      <c r="F6" s="99">
        <v>30346</v>
      </c>
      <c r="G6" s="100" t="s">
        <v>427</v>
      </c>
      <c r="H6" s="99">
        <v>9588776014</v>
      </c>
      <c r="I6" s="109"/>
      <c r="J6" s="110"/>
    </row>
    <row r="7" spans="1:12" s="2" customFormat="1" ht="40" customHeight="1">
      <c r="A7" s="19">
        <v>3</v>
      </c>
      <c r="B7" s="21" t="s">
        <v>3025</v>
      </c>
      <c r="C7" s="24">
        <v>29867927</v>
      </c>
      <c r="D7" s="97" t="s">
        <v>2771</v>
      </c>
      <c r="E7" s="98" t="s">
        <v>2955</v>
      </c>
      <c r="F7" s="99">
        <v>52250</v>
      </c>
      <c r="G7" s="971">
        <v>590425</v>
      </c>
      <c r="H7" s="1199">
        <v>9213922876</v>
      </c>
      <c r="I7" s="109"/>
      <c r="J7" s="110"/>
    </row>
    <row r="8" spans="1:12" s="2" customFormat="1" ht="40" customHeight="1">
      <c r="A8" s="19">
        <v>4</v>
      </c>
      <c r="B8" s="21" t="s">
        <v>3782</v>
      </c>
      <c r="C8" s="24">
        <v>29866868</v>
      </c>
      <c r="D8" s="97" t="s">
        <v>2771</v>
      </c>
      <c r="E8" s="98" t="s">
        <v>2955</v>
      </c>
      <c r="F8" s="99">
        <v>52250</v>
      </c>
      <c r="G8" s="971">
        <v>590425</v>
      </c>
      <c r="H8" s="1200"/>
      <c r="I8" s="109"/>
      <c r="J8" s="110"/>
    </row>
    <row r="9" spans="1:12" s="2" customFormat="1" ht="40" customHeight="1">
      <c r="A9" s="19">
        <v>5</v>
      </c>
      <c r="B9" s="21" t="s">
        <v>3768</v>
      </c>
      <c r="C9" s="24">
        <v>30283048</v>
      </c>
      <c r="D9" s="97" t="s">
        <v>2771</v>
      </c>
      <c r="E9" s="98" t="s">
        <v>3781</v>
      </c>
      <c r="F9" s="99">
        <v>500000</v>
      </c>
      <c r="G9" s="100">
        <v>51.25</v>
      </c>
      <c r="H9" s="99">
        <v>9868817721</v>
      </c>
      <c r="I9" s="109"/>
      <c r="J9" s="110"/>
    </row>
    <row r="10" spans="1:12" s="1" customFormat="1" ht="40" customHeight="1">
      <c r="A10" s="19">
        <v>6</v>
      </c>
      <c r="B10" s="21" t="s">
        <v>545</v>
      </c>
      <c r="C10" s="24"/>
      <c r="D10" s="24"/>
      <c r="E10" s="22"/>
      <c r="F10" s="17"/>
      <c r="G10" s="101"/>
      <c r="H10" s="24"/>
      <c r="I10" s="111"/>
      <c r="J10" s="112"/>
      <c r="L10" s="113"/>
    </row>
    <row r="11" spans="1:12" s="1" customFormat="1" ht="40" customHeight="1">
      <c r="A11" s="19">
        <v>7</v>
      </c>
      <c r="B11" s="21"/>
      <c r="C11" s="24"/>
      <c r="D11" s="24"/>
      <c r="E11" s="22"/>
      <c r="F11" s="17"/>
      <c r="G11" s="23"/>
      <c r="H11" s="24"/>
      <c r="I11" s="111"/>
      <c r="J11" s="112"/>
    </row>
    <row r="12" spans="1:12" s="1" customFormat="1" ht="40" customHeight="1">
      <c r="A12" s="19">
        <v>8</v>
      </c>
      <c r="B12" s="21"/>
      <c r="C12" s="24"/>
      <c r="D12" s="24"/>
      <c r="E12" s="22"/>
      <c r="F12" s="17"/>
      <c r="G12" s="23"/>
      <c r="H12" s="24"/>
      <c r="I12" s="111"/>
      <c r="J12" s="112"/>
    </row>
    <row r="13" spans="1:12" s="1" customFormat="1" ht="40" customHeight="1">
      <c r="A13" s="19">
        <v>9</v>
      </c>
      <c r="B13" s="21"/>
      <c r="C13" s="24"/>
      <c r="D13" s="24"/>
      <c r="E13" s="22"/>
      <c r="F13" s="17"/>
      <c r="G13" s="23"/>
      <c r="H13" s="24"/>
      <c r="I13" s="111"/>
      <c r="J13" s="112"/>
    </row>
    <row r="14" spans="1:12" s="1" customFormat="1" ht="40" customHeight="1" thickBot="1">
      <c r="A14" s="19">
        <v>10</v>
      </c>
      <c r="B14" s="21"/>
      <c r="C14" s="102"/>
      <c r="D14" s="102"/>
      <c r="E14" s="103"/>
      <c r="F14" s="17"/>
      <c r="G14" s="102"/>
      <c r="H14" s="102"/>
      <c r="I14" s="111"/>
      <c r="J14" s="112"/>
    </row>
    <row r="15" spans="1:12" s="90" customFormat="1" ht="30" customHeight="1" thickBot="1">
      <c r="A15" s="1184" t="s">
        <v>1314</v>
      </c>
      <c r="B15" s="1185"/>
      <c r="C15" s="1185"/>
      <c r="D15" s="1185"/>
      <c r="E15" s="1185"/>
      <c r="F15" s="104">
        <f>SUM(F5:F14)</f>
        <v>638135</v>
      </c>
      <c r="G15" s="1185"/>
      <c r="H15" s="1185"/>
      <c r="I15" s="1185"/>
      <c r="J15" s="1186"/>
    </row>
    <row r="16" spans="1:12" s="1" customFormat="1" ht="30" customHeight="1">
      <c r="B16" s="3"/>
      <c r="C16" s="105"/>
      <c r="E16" s="79"/>
      <c r="F16" s="106">
        <f>F15/100000</f>
        <v>6.3813500000000003</v>
      </c>
      <c r="G16" s="66"/>
    </row>
  </sheetData>
  <mergeCells count="5">
    <mergeCell ref="A15:E15"/>
    <mergeCell ref="G15:J15"/>
    <mergeCell ref="A2:J2"/>
    <mergeCell ref="A3:J3"/>
    <mergeCell ref="H7:H8"/>
  </mergeCells>
  <pageMargins left="0.25" right="0" top="0.2" bottom="0" header="0" footer="0"/>
  <pageSetup scale="8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33"/>
  </sheetPr>
  <dimension ref="A2:L30"/>
  <sheetViews>
    <sheetView topLeftCell="A19" zoomScale="85" zoomScaleNormal="85" workbookViewId="0">
      <selection activeCell="F29" sqref="F29"/>
    </sheetView>
  </sheetViews>
  <sheetFormatPr defaultColWidth="9.1796875" defaultRowHeight="13"/>
  <cols>
    <col min="1" max="1" width="5.54296875" style="1" customWidth="1"/>
    <col min="2" max="2" width="45.90625" style="1" bestFit="1" customWidth="1"/>
    <col min="3" max="3" width="13.453125" style="1" bestFit="1" customWidth="1"/>
    <col min="4" max="4" width="30.81640625" style="66" bestFit="1" customWidth="1"/>
    <col min="5" max="5" width="16.90625" style="66" bestFit="1" customWidth="1"/>
    <col min="6" max="6" width="13.26953125" style="1" bestFit="1" customWidth="1"/>
    <col min="7" max="7" width="14.7265625" style="66" bestFit="1" customWidth="1"/>
    <col min="8" max="8" width="25.36328125" style="1" bestFit="1" customWidth="1"/>
    <col min="9" max="9" width="20.26953125" style="1" customWidth="1"/>
    <col min="10" max="10" width="4.453125" style="1" customWidth="1"/>
    <col min="11" max="16384" width="9.1796875" style="1"/>
  </cols>
  <sheetData>
    <row r="2" spans="1:12" ht="25" customHeight="1">
      <c r="A2" s="1201" t="s">
        <v>3769</v>
      </c>
      <c r="B2" s="1202"/>
      <c r="C2" s="1202"/>
      <c r="D2" s="1202"/>
      <c r="E2" s="1202"/>
      <c r="F2" s="1202"/>
      <c r="G2" s="1202"/>
      <c r="H2" s="1202"/>
      <c r="I2" s="1203"/>
    </row>
    <row r="3" spans="1:12">
      <c r="A3" s="67"/>
      <c r="B3" s="68"/>
      <c r="C3" s="68"/>
      <c r="D3" s="68"/>
      <c r="E3" s="68"/>
      <c r="F3" s="68"/>
      <c r="G3" s="68"/>
      <c r="H3" s="68"/>
      <c r="I3" s="80"/>
    </row>
    <row r="4" spans="1:12" ht="25" customHeight="1">
      <c r="A4" s="83" t="s">
        <v>2</v>
      </c>
      <c r="B4" s="84" t="s">
        <v>3</v>
      </c>
      <c r="C4" s="85" t="s">
        <v>5</v>
      </c>
      <c r="D4" s="84" t="s">
        <v>1269</v>
      </c>
      <c r="E4" s="728" t="s">
        <v>1315</v>
      </c>
      <c r="F4" s="732" t="s">
        <v>6</v>
      </c>
      <c r="G4" s="730" t="s">
        <v>8</v>
      </c>
      <c r="H4" s="84" t="s">
        <v>9</v>
      </c>
      <c r="I4" s="88" t="s">
        <v>10</v>
      </c>
    </row>
    <row r="5" spans="1:12" s="64" customFormat="1" ht="28" customHeight="1">
      <c r="A5" s="86">
        <v>1</v>
      </c>
      <c r="B5" s="74" t="s">
        <v>3425</v>
      </c>
      <c r="C5" s="76" t="s">
        <v>3426</v>
      </c>
      <c r="D5" s="466" t="s">
        <v>3428</v>
      </c>
      <c r="E5" s="729" t="s">
        <v>3427</v>
      </c>
      <c r="F5" s="733">
        <v>1030</v>
      </c>
      <c r="G5" s="731"/>
      <c r="H5" s="87" t="s">
        <v>3429</v>
      </c>
      <c r="I5" s="82"/>
      <c r="J5" s="1"/>
      <c r="K5" s="1"/>
      <c r="L5" s="1"/>
    </row>
    <row r="6" spans="1:12" s="64" customFormat="1" ht="28" customHeight="1">
      <c r="A6" s="86">
        <v>2</v>
      </c>
      <c r="B6" s="74" t="s">
        <v>3433</v>
      </c>
      <c r="C6" s="76" t="s">
        <v>3430</v>
      </c>
      <c r="D6" s="466" t="s">
        <v>3439</v>
      </c>
      <c r="E6" s="729" t="s">
        <v>3432</v>
      </c>
      <c r="F6" s="733">
        <v>5963</v>
      </c>
      <c r="G6" s="731"/>
      <c r="H6" s="87"/>
      <c r="I6" s="82"/>
      <c r="J6" s="1"/>
      <c r="K6" s="1"/>
      <c r="L6" s="1"/>
    </row>
    <row r="7" spans="1:12" s="64" customFormat="1" ht="28" customHeight="1">
      <c r="A7" s="86">
        <v>3</v>
      </c>
      <c r="B7" s="74" t="s">
        <v>545</v>
      </c>
      <c r="C7" s="76" t="s">
        <v>3701</v>
      </c>
      <c r="D7" s="466" t="s">
        <v>3703</v>
      </c>
      <c r="E7" s="729" t="s">
        <v>3702</v>
      </c>
      <c r="F7" s="733">
        <v>17682</v>
      </c>
      <c r="G7" s="731"/>
      <c r="H7" s="87"/>
      <c r="I7" s="82"/>
      <c r="J7" s="1"/>
      <c r="K7" s="1"/>
      <c r="L7" s="1"/>
    </row>
    <row r="8" spans="1:12" s="64" customFormat="1" ht="28" customHeight="1">
      <c r="A8" s="86">
        <v>4</v>
      </c>
      <c r="B8" s="74" t="s">
        <v>1325</v>
      </c>
      <c r="C8" s="76" t="s">
        <v>3779</v>
      </c>
      <c r="D8" s="466" t="s">
        <v>3780</v>
      </c>
      <c r="E8" s="729" t="s">
        <v>1326</v>
      </c>
      <c r="F8" s="733">
        <v>8865</v>
      </c>
      <c r="G8" s="731"/>
      <c r="H8" s="87"/>
      <c r="I8" s="82"/>
      <c r="J8" s="1"/>
      <c r="K8" s="1"/>
      <c r="L8" s="1"/>
    </row>
    <row r="9" spans="1:12" s="62" customFormat="1" ht="28" customHeight="1">
      <c r="A9" s="86">
        <v>5</v>
      </c>
      <c r="B9" s="761" t="s">
        <v>2310</v>
      </c>
      <c r="C9" s="762" t="s">
        <v>2311</v>
      </c>
      <c r="D9" s="763"/>
      <c r="E9" s="764"/>
      <c r="F9" s="765">
        <v>18134</v>
      </c>
      <c r="G9" s="766"/>
      <c r="H9" s="767"/>
      <c r="I9" s="82"/>
      <c r="J9" s="3"/>
      <c r="K9" s="3"/>
      <c r="L9" s="3"/>
    </row>
    <row r="10" spans="1:12" s="64" customFormat="1" ht="28" customHeight="1">
      <c r="A10" s="86">
        <v>6</v>
      </c>
      <c r="B10" s="74" t="s">
        <v>2360</v>
      </c>
      <c r="C10" s="76" t="s">
        <v>2359</v>
      </c>
      <c r="D10" s="466" t="s">
        <v>2361</v>
      </c>
      <c r="E10" s="729" t="s">
        <v>2363</v>
      </c>
      <c r="F10" s="733">
        <v>4141</v>
      </c>
      <c r="G10" s="731"/>
      <c r="H10" s="87" t="s">
        <v>2362</v>
      </c>
      <c r="I10" s="82"/>
      <c r="J10" s="1"/>
      <c r="K10" s="1"/>
      <c r="L10" s="1"/>
    </row>
    <row r="11" spans="1:12" s="64" customFormat="1" ht="28" customHeight="1">
      <c r="A11" s="86">
        <v>7</v>
      </c>
      <c r="B11" s="74" t="s">
        <v>3433</v>
      </c>
      <c r="C11" s="76" t="s">
        <v>3430</v>
      </c>
      <c r="D11" s="466" t="s">
        <v>3431</v>
      </c>
      <c r="E11" s="729" t="s">
        <v>3432</v>
      </c>
      <c r="F11" s="733">
        <v>5963</v>
      </c>
      <c r="G11" s="731"/>
      <c r="H11" s="87"/>
      <c r="I11" s="82"/>
      <c r="J11" s="1"/>
      <c r="K11" s="1"/>
      <c r="L11" s="1"/>
    </row>
    <row r="12" spans="1:12" s="64" customFormat="1" ht="28" customHeight="1">
      <c r="A12" s="86">
        <v>8</v>
      </c>
      <c r="B12" s="74" t="s">
        <v>2209</v>
      </c>
      <c r="C12" s="76" t="s">
        <v>2312</v>
      </c>
      <c r="D12" s="466"/>
      <c r="E12" s="729"/>
      <c r="F12" s="733">
        <v>14121</v>
      </c>
      <c r="G12" s="731"/>
      <c r="H12" s="87"/>
      <c r="I12" s="82"/>
      <c r="J12" s="1"/>
      <c r="K12" s="1"/>
      <c r="L12" s="1"/>
    </row>
    <row r="13" spans="1:12" s="64" customFormat="1" ht="28" customHeight="1">
      <c r="A13" s="86">
        <v>9</v>
      </c>
      <c r="B13" s="74" t="s">
        <v>1327</v>
      </c>
      <c r="C13" s="76" t="s">
        <v>2465</v>
      </c>
      <c r="D13" s="466" t="s">
        <v>3013</v>
      </c>
      <c r="E13" s="729" t="s">
        <v>1328</v>
      </c>
      <c r="F13" s="733">
        <v>5209</v>
      </c>
      <c r="G13" s="731">
        <v>8860394772</v>
      </c>
      <c r="H13" s="87" t="s">
        <v>236</v>
      </c>
      <c r="I13" s="82"/>
      <c r="J13" s="1"/>
      <c r="K13" s="1"/>
      <c r="L13" s="1"/>
    </row>
    <row r="14" spans="1:12" s="64" customFormat="1" ht="28" customHeight="1">
      <c r="A14" s="86">
        <v>10</v>
      </c>
      <c r="B14" s="74" t="s">
        <v>3235</v>
      </c>
      <c r="C14" s="76" t="s">
        <v>3236</v>
      </c>
      <c r="D14" s="466" t="s">
        <v>3241</v>
      </c>
      <c r="E14" s="729" t="s">
        <v>3237</v>
      </c>
      <c r="F14" s="733">
        <v>9170</v>
      </c>
      <c r="G14" s="731"/>
      <c r="H14" s="87"/>
      <c r="I14" s="82"/>
      <c r="J14" s="1"/>
      <c r="K14" s="1"/>
      <c r="L14" s="1"/>
    </row>
    <row r="15" spans="1:12" s="64" customFormat="1" ht="28" customHeight="1">
      <c r="A15" s="86">
        <v>11</v>
      </c>
      <c r="B15" s="74" t="s">
        <v>2300</v>
      </c>
      <c r="C15" s="76" t="s">
        <v>2741</v>
      </c>
      <c r="D15" s="466" t="s">
        <v>3242</v>
      </c>
      <c r="E15" s="729" t="s">
        <v>2740</v>
      </c>
      <c r="F15" s="733">
        <v>5345</v>
      </c>
      <c r="G15" s="731"/>
      <c r="H15" s="87"/>
      <c r="I15" s="82"/>
      <c r="J15" s="1"/>
      <c r="K15" s="1"/>
      <c r="L15" s="1"/>
    </row>
    <row r="16" spans="1:12" s="64" customFormat="1" ht="28" customHeight="1">
      <c r="A16" s="86">
        <v>12</v>
      </c>
      <c r="B16" s="74" t="s">
        <v>2302</v>
      </c>
      <c r="C16" s="76" t="s">
        <v>2303</v>
      </c>
      <c r="D16" s="466"/>
      <c r="E16" s="729"/>
      <c r="F16" s="733">
        <v>1474</v>
      </c>
      <c r="G16" s="731"/>
      <c r="H16" s="87"/>
      <c r="I16" s="82"/>
      <c r="J16" s="1"/>
      <c r="K16" s="1"/>
      <c r="L16" s="1"/>
    </row>
    <row r="17" spans="1:12" s="64" customFormat="1" ht="28" customHeight="1">
      <c r="A17" s="86">
        <v>13</v>
      </c>
      <c r="B17" s="74" t="s">
        <v>1336</v>
      </c>
      <c r="C17" s="76" t="s">
        <v>3012</v>
      </c>
      <c r="D17" s="466" t="s">
        <v>3243</v>
      </c>
      <c r="E17" s="729" t="s">
        <v>1337</v>
      </c>
      <c r="F17" s="733">
        <v>8823</v>
      </c>
      <c r="G17" s="731">
        <v>9810303367</v>
      </c>
      <c r="H17" s="87" t="s">
        <v>1335</v>
      </c>
      <c r="I17" s="82"/>
      <c r="J17" s="1"/>
      <c r="K17" s="1"/>
      <c r="L17" s="1"/>
    </row>
    <row r="18" spans="1:12" s="64" customFormat="1" ht="28" customHeight="1">
      <c r="A18" s="86">
        <v>14</v>
      </c>
      <c r="B18" s="74" t="s">
        <v>3009</v>
      </c>
      <c r="C18" s="76" t="s">
        <v>3010</v>
      </c>
      <c r="D18" s="466" t="s">
        <v>3238</v>
      </c>
      <c r="E18" s="729" t="s">
        <v>3011</v>
      </c>
      <c r="F18" s="733">
        <v>1440</v>
      </c>
      <c r="G18" s="731">
        <v>9810246109</v>
      </c>
      <c r="H18" s="87" t="s">
        <v>1335</v>
      </c>
      <c r="I18" s="82"/>
      <c r="J18" s="1"/>
      <c r="K18" s="1"/>
      <c r="L18" s="1"/>
    </row>
    <row r="19" spans="1:12" s="64" customFormat="1" ht="28" customHeight="1">
      <c r="A19" s="86">
        <v>15</v>
      </c>
      <c r="B19" s="74" t="s">
        <v>3222</v>
      </c>
      <c r="C19" s="76" t="s">
        <v>3130</v>
      </c>
      <c r="D19" s="466" t="s">
        <v>3240</v>
      </c>
      <c r="E19" s="729" t="s">
        <v>3239</v>
      </c>
      <c r="F19" s="733">
        <v>21303</v>
      </c>
      <c r="G19" s="731"/>
      <c r="H19" s="87"/>
      <c r="I19" s="82"/>
      <c r="J19" s="1"/>
      <c r="K19" s="1"/>
      <c r="L19" s="1"/>
    </row>
    <row r="20" spans="1:12" s="64" customFormat="1" ht="28" customHeight="1">
      <c r="A20" s="86">
        <v>16</v>
      </c>
      <c r="B20" s="74" t="s">
        <v>3245</v>
      </c>
      <c r="C20" s="76" t="s">
        <v>3246</v>
      </c>
      <c r="D20" s="466" t="s">
        <v>3248</v>
      </c>
      <c r="E20" s="729" t="s">
        <v>3247</v>
      </c>
      <c r="F20" s="733">
        <v>5294</v>
      </c>
      <c r="G20" s="731"/>
      <c r="H20" s="87"/>
      <c r="I20" s="82"/>
      <c r="J20" s="1"/>
      <c r="K20" s="1"/>
      <c r="L20" s="1"/>
    </row>
    <row r="21" spans="1:12" s="64" customFormat="1" ht="28" customHeight="1">
      <c r="A21" s="86">
        <v>17</v>
      </c>
      <c r="B21" s="74" t="s">
        <v>2306</v>
      </c>
      <c r="C21" s="76" t="s">
        <v>3062</v>
      </c>
      <c r="D21" s="466" t="s">
        <v>3244</v>
      </c>
      <c r="E21" s="729" t="s">
        <v>3063</v>
      </c>
      <c r="F21" s="733">
        <v>13144</v>
      </c>
      <c r="G21" s="731">
        <v>8076106140</v>
      </c>
      <c r="H21" s="87"/>
      <c r="I21" s="82"/>
      <c r="J21" s="1"/>
      <c r="K21" s="1"/>
      <c r="L21" s="1"/>
    </row>
    <row r="22" spans="1:12" s="64" customFormat="1" ht="28" customHeight="1">
      <c r="A22" s="86">
        <v>18</v>
      </c>
      <c r="B22" s="74" t="s">
        <v>3181</v>
      </c>
      <c r="C22" s="76" t="s">
        <v>3182</v>
      </c>
      <c r="D22" s="466" t="s">
        <v>3250</v>
      </c>
      <c r="E22" s="729" t="s">
        <v>3183</v>
      </c>
      <c r="F22" s="733">
        <v>25349</v>
      </c>
      <c r="G22" s="731"/>
      <c r="H22" s="87" t="s">
        <v>1335</v>
      </c>
      <c r="I22" s="82"/>
      <c r="J22" s="1"/>
      <c r="K22" s="1"/>
      <c r="L22" s="1"/>
    </row>
    <row r="23" spans="1:12" s="64" customFormat="1" ht="28" customHeight="1">
      <c r="A23" s="86">
        <v>19</v>
      </c>
      <c r="B23" s="74" t="s">
        <v>3222</v>
      </c>
      <c r="C23" s="76" t="s">
        <v>3223</v>
      </c>
      <c r="D23" s="466" t="s">
        <v>3249</v>
      </c>
      <c r="E23" s="729" t="s">
        <v>3224</v>
      </c>
      <c r="F23" s="733">
        <v>9519</v>
      </c>
      <c r="G23" s="731"/>
      <c r="H23" s="87" t="s">
        <v>1335</v>
      </c>
      <c r="I23" s="82"/>
      <c r="J23" s="1"/>
      <c r="K23" s="1"/>
      <c r="L23" s="1"/>
    </row>
    <row r="24" spans="1:12" s="64" customFormat="1" ht="28" customHeight="1">
      <c r="A24" s="86">
        <v>20</v>
      </c>
      <c r="B24" s="74" t="s">
        <v>285</v>
      </c>
      <c r="C24" s="76" t="s">
        <v>3283</v>
      </c>
      <c r="D24" s="466" t="s">
        <v>3282</v>
      </c>
      <c r="E24" s="729" t="s">
        <v>3281</v>
      </c>
      <c r="F24" s="733">
        <v>1398</v>
      </c>
      <c r="G24" s="731">
        <v>9968717628</v>
      </c>
      <c r="H24" s="87" t="s">
        <v>3280</v>
      </c>
      <c r="I24" s="82"/>
      <c r="J24" s="1"/>
      <c r="K24" s="1"/>
      <c r="L24" s="1"/>
    </row>
    <row r="25" spans="1:12" s="64" customFormat="1" ht="28" customHeight="1">
      <c r="A25" s="86">
        <v>21</v>
      </c>
      <c r="B25" s="74" t="s">
        <v>1338</v>
      </c>
      <c r="C25" s="76" t="s">
        <v>3295</v>
      </c>
      <c r="D25" s="466" t="s">
        <v>3296</v>
      </c>
      <c r="E25" s="729" t="s">
        <v>1339</v>
      </c>
      <c r="F25" s="733">
        <v>1296</v>
      </c>
      <c r="G25" s="731"/>
      <c r="H25" s="87" t="s">
        <v>1340</v>
      </c>
      <c r="I25" s="82"/>
      <c r="J25" s="1"/>
      <c r="K25" s="1"/>
      <c r="L25" s="1"/>
    </row>
    <row r="26" spans="1:12" s="64" customFormat="1" ht="28" customHeight="1">
      <c r="A26" s="86">
        <v>22</v>
      </c>
      <c r="B26" s="74" t="s">
        <v>2307</v>
      </c>
      <c r="C26" s="76" t="s">
        <v>3318</v>
      </c>
      <c r="D26" s="466" t="s">
        <v>3317</v>
      </c>
      <c r="E26" s="729" t="s">
        <v>3319</v>
      </c>
      <c r="F26" s="733">
        <v>7741</v>
      </c>
      <c r="G26" s="731"/>
      <c r="H26" s="87" t="s">
        <v>1335</v>
      </c>
      <c r="I26" s="82"/>
      <c r="J26" s="1"/>
      <c r="K26" s="1"/>
      <c r="L26" s="1"/>
    </row>
    <row r="27" spans="1:12" s="64" customFormat="1" ht="28" customHeight="1">
      <c r="A27" s="86">
        <v>23</v>
      </c>
      <c r="B27" s="74" t="s">
        <v>2309</v>
      </c>
      <c r="C27" s="76" t="s">
        <v>3369</v>
      </c>
      <c r="D27" s="466" t="s">
        <v>3368</v>
      </c>
      <c r="E27" s="729" t="s">
        <v>1317</v>
      </c>
      <c r="F27" s="733">
        <v>18306</v>
      </c>
      <c r="G27" s="731"/>
      <c r="H27" s="87" t="s">
        <v>3367</v>
      </c>
      <c r="I27" s="82"/>
      <c r="J27" s="1"/>
      <c r="K27" s="1"/>
      <c r="L27" s="1"/>
    </row>
    <row r="28" spans="1:12" s="65" customFormat="1" ht="30" customHeight="1">
      <c r="A28" s="1164" t="s">
        <v>3007</v>
      </c>
      <c r="B28" s="1165"/>
      <c r="C28" s="1165"/>
      <c r="D28" s="1165"/>
      <c r="E28" s="1165"/>
      <c r="F28" s="734">
        <f>SUM(F5:F27)</f>
        <v>210710</v>
      </c>
      <c r="G28" s="1165"/>
      <c r="H28" s="1165"/>
      <c r="I28" s="1166"/>
      <c r="J28" s="1"/>
      <c r="K28" s="1"/>
      <c r="L28" s="1"/>
    </row>
    <row r="29" spans="1:12" ht="34.5" customHeight="1">
      <c r="D29" s="1"/>
      <c r="F29" s="79">
        <f>F28/100000</f>
        <v>2.1071</v>
      </c>
    </row>
    <row r="30" spans="1:12">
      <c r="D30" s="1"/>
    </row>
  </sheetData>
  <mergeCells count="3">
    <mergeCell ref="A2:I2"/>
    <mergeCell ref="A28:E28"/>
    <mergeCell ref="G28:I28"/>
  </mergeCells>
  <phoneticPr fontId="69" type="noConversion"/>
  <pageMargins left="0.25" right="0" top="0" bottom="0" header="0" footer="0"/>
  <pageSetup scale="70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66"/>
  </sheetPr>
  <dimension ref="A1:R13"/>
  <sheetViews>
    <sheetView topLeftCell="A6" zoomScale="85" zoomScaleNormal="85" workbookViewId="0">
      <selection activeCell="C13" sqref="C13"/>
    </sheetView>
  </sheetViews>
  <sheetFormatPr defaultColWidth="9.1796875" defaultRowHeight="13"/>
  <cols>
    <col min="1" max="1" width="5.54296875" style="1" customWidth="1"/>
    <col min="2" max="2" width="22.26953125" style="1" customWidth="1"/>
    <col min="3" max="3" width="37" style="1" customWidth="1"/>
    <col min="4" max="4" width="17.1796875" style="1" customWidth="1"/>
    <col min="5" max="5" width="11.81640625" style="1" customWidth="1"/>
    <col min="6" max="6" width="11.54296875" style="66" customWidth="1"/>
    <col min="7" max="7" width="16.7265625" style="66" customWidth="1"/>
    <col min="8" max="8" width="16.81640625" style="1" customWidth="1"/>
    <col min="9" max="9" width="36" style="1" customWidth="1"/>
    <col min="10" max="10" width="4.453125" style="1" customWidth="1"/>
    <col min="11" max="16384" width="9.1796875" style="1"/>
  </cols>
  <sheetData>
    <row r="1" spans="1:18" ht="25" customHeight="1">
      <c r="A1" s="1201" t="s">
        <v>1341</v>
      </c>
      <c r="B1" s="1202"/>
      <c r="C1" s="1202"/>
      <c r="D1" s="1202"/>
      <c r="E1" s="1202"/>
      <c r="F1" s="1202"/>
      <c r="G1" s="1202"/>
      <c r="H1" s="1202"/>
      <c r="I1" s="1203"/>
    </row>
    <row r="2" spans="1:18" ht="13.5" thickBot="1">
      <c r="A2" s="67"/>
      <c r="B2" s="68"/>
      <c r="C2" s="68"/>
      <c r="D2" s="68"/>
      <c r="E2" s="68"/>
      <c r="F2" s="68"/>
      <c r="G2" s="68"/>
      <c r="H2" s="68"/>
      <c r="I2" s="80"/>
    </row>
    <row r="3" spans="1:18" ht="35.15" customHeight="1" thickBot="1">
      <c r="A3" s="83" t="s">
        <v>2</v>
      </c>
      <c r="B3" s="84" t="s">
        <v>3</v>
      </c>
      <c r="C3" s="84" t="s">
        <v>4</v>
      </c>
      <c r="D3" s="85" t="s">
        <v>5</v>
      </c>
      <c r="E3" s="84" t="s">
        <v>6</v>
      </c>
      <c r="F3" s="85" t="s">
        <v>7</v>
      </c>
      <c r="G3" s="84" t="s">
        <v>8</v>
      </c>
      <c r="H3" s="84" t="s">
        <v>9</v>
      </c>
      <c r="I3" s="88" t="s">
        <v>10</v>
      </c>
    </row>
    <row r="4" spans="1:18" s="63" customFormat="1" ht="50.15" customHeight="1">
      <c r="A4" s="413">
        <v>1</v>
      </c>
      <c r="B4" s="159" t="s">
        <v>1346</v>
      </c>
      <c r="C4" s="159" t="s">
        <v>3320</v>
      </c>
      <c r="D4" s="411" t="s">
        <v>3229</v>
      </c>
      <c r="E4" s="161">
        <v>4441</v>
      </c>
      <c r="F4" s="414" t="s">
        <v>1347</v>
      </c>
      <c r="G4" s="159">
        <v>9971233442</v>
      </c>
      <c r="H4" s="159"/>
      <c r="I4" s="415"/>
      <c r="J4" s="1"/>
      <c r="K4" s="1"/>
      <c r="L4" s="1"/>
      <c r="M4" s="62"/>
      <c r="N4" s="62"/>
      <c r="O4" s="62"/>
      <c r="P4" s="62"/>
      <c r="Q4" s="62"/>
      <c r="R4" s="62"/>
    </row>
    <row r="5" spans="1:18" s="64" customFormat="1" ht="50.15" customHeight="1">
      <c r="A5" s="69">
        <v>2</v>
      </c>
      <c r="B5" s="70" t="s">
        <v>1348</v>
      </c>
      <c r="C5" s="70" t="s">
        <v>1349</v>
      </c>
      <c r="D5" s="73" t="s">
        <v>1350</v>
      </c>
      <c r="E5" s="71">
        <v>826</v>
      </c>
      <c r="F5" s="72" t="s">
        <v>17</v>
      </c>
      <c r="G5" s="416"/>
      <c r="H5" s="1204" t="s">
        <v>1351</v>
      </c>
      <c r="I5" s="1207"/>
      <c r="J5" s="1"/>
      <c r="K5" s="1"/>
      <c r="L5" s="1"/>
      <c r="M5" s="62"/>
      <c r="N5" s="62"/>
      <c r="O5" s="62"/>
      <c r="P5" s="62"/>
      <c r="Q5" s="62"/>
      <c r="R5" s="62"/>
    </row>
    <row r="6" spans="1:18" s="64" customFormat="1" ht="50.15" customHeight="1">
      <c r="A6" s="69">
        <v>3</v>
      </c>
      <c r="B6" s="74" t="s">
        <v>1352</v>
      </c>
      <c r="C6" s="70" t="s">
        <v>1353</v>
      </c>
      <c r="D6" s="73" t="s">
        <v>845</v>
      </c>
      <c r="E6" s="75">
        <v>14080</v>
      </c>
      <c r="F6" s="72"/>
      <c r="G6" s="417"/>
      <c r="H6" s="1205"/>
      <c r="I6" s="1208"/>
      <c r="J6" s="1"/>
      <c r="K6" s="1"/>
      <c r="L6" s="1"/>
    </row>
    <row r="7" spans="1:18" s="64" customFormat="1" ht="50.15" customHeight="1">
      <c r="A7" s="69">
        <v>4</v>
      </c>
      <c r="B7" s="74" t="s">
        <v>1351</v>
      </c>
      <c r="C7" s="70" t="s">
        <v>1354</v>
      </c>
      <c r="D7" s="76" t="s">
        <v>1350</v>
      </c>
      <c r="E7" s="75">
        <v>826</v>
      </c>
      <c r="F7" s="77" t="s">
        <v>17</v>
      </c>
      <c r="G7" s="417"/>
      <c r="H7" s="1206"/>
      <c r="I7" s="1209"/>
      <c r="J7" s="1"/>
      <c r="K7" s="1"/>
      <c r="L7" s="1"/>
    </row>
    <row r="8" spans="1:18" s="64" customFormat="1" ht="50.15" customHeight="1">
      <c r="A8" s="69"/>
      <c r="B8" s="74"/>
      <c r="C8" s="74"/>
      <c r="D8" s="76"/>
      <c r="E8" s="75"/>
      <c r="F8" s="77"/>
      <c r="G8" s="77"/>
      <c r="H8" s="77"/>
      <c r="I8" s="81"/>
      <c r="J8" s="1"/>
      <c r="K8" s="1"/>
      <c r="L8" s="1"/>
    </row>
    <row r="9" spans="1:18" s="64" customFormat="1" ht="50.15" customHeight="1">
      <c r="A9" s="69"/>
      <c r="B9" s="74"/>
      <c r="C9" s="74"/>
      <c r="D9" s="76"/>
      <c r="E9" s="75"/>
      <c r="F9" s="77"/>
      <c r="G9" s="77"/>
      <c r="H9" s="77"/>
      <c r="I9" s="82"/>
      <c r="J9" s="1"/>
      <c r="K9" s="1"/>
      <c r="L9" s="1"/>
    </row>
    <row r="10" spans="1:18" s="64" customFormat="1" ht="50.15" customHeight="1">
      <c r="A10" s="69"/>
      <c r="B10" s="74"/>
      <c r="C10" s="74"/>
      <c r="D10" s="76"/>
      <c r="E10" s="75"/>
      <c r="F10" s="77"/>
      <c r="G10" s="77"/>
      <c r="H10" s="77"/>
      <c r="I10" s="81"/>
      <c r="J10" s="1"/>
      <c r="K10" s="1"/>
      <c r="L10" s="1"/>
    </row>
    <row r="11" spans="1:18" s="64" customFormat="1" ht="50.15" customHeight="1">
      <c r="A11" s="69"/>
      <c r="B11" s="74"/>
      <c r="C11" s="74"/>
      <c r="D11" s="76"/>
      <c r="E11" s="75"/>
      <c r="F11" s="77"/>
      <c r="G11" s="77"/>
      <c r="H11" s="77"/>
      <c r="I11" s="81"/>
      <c r="J11" s="1"/>
      <c r="K11" s="1"/>
      <c r="L11" s="1"/>
    </row>
    <row r="12" spans="1:18" s="65" customFormat="1" ht="35.15" customHeight="1">
      <c r="A12" s="1164" t="s">
        <v>1314</v>
      </c>
      <c r="B12" s="1165"/>
      <c r="C12" s="1165"/>
      <c r="D12" s="1165"/>
      <c r="E12" s="78">
        <f>SUM(E4:E10)</f>
        <v>20173</v>
      </c>
      <c r="F12" s="1165"/>
      <c r="G12" s="1165"/>
      <c r="H12" s="1165"/>
      <c r="I12" s="1166"/>
      <c r="J12" s="1"/>
      <c r="K12" s="1"/>
      <c r="L12" s="1"/>
    </row>
    <row r="13" spans="1:18" ht="31.5" customHeight="1">
      <c r="E13" s="79">
        <f>E12/100000</f>
        <v>0.20172999999999999</v>
      </c>
    </row>
  </sheetData>
  <mergeCells count="5">
    <mergeCell ref="A1:I1"/>
    <mergeCell ref="A12:D12"/>
    <mergeCell ref="F12:I12"/>
    <mergeCell ref="H5:H7"/>
    <mergeCell ref="I5:I7"/>
  </mergeCells>
  <pageMargins left="0.45" right="0" top="0.25" bottom="0" header="0" footer="0"/>
  <pageSetup scale="75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E15"/>
  <sheetViews>
    <sheetView topLeftCell="A6" zoomScale="85" zoomScaleNormal="85" workbookViewId="0">
      <selection activeCell="E14" sqref="E14"/>
    </sheetView>
  </sheetViews>
  <sheetFormatPr defaultColWidth="9.1796875" defaultRowHeight="19"/>
  <cols>
    <col min="1" max="1" width="9.26953125" style="53" customWidth="1"/>
    <col min="2" max="2" width="47.81640625" style="54" customWidth="1"/>
    <col min="3" max="5" width="22.7265625" style="53" customWidth="1"/>
    <col min="6" max="16384" width="9.1796875" style="53"/>
  </cols>
  <sheetData>
    <row r="1" spans="1:5" s="51" customFormat="1" ht="54" customHeight="1" thickTop="1" thickBot="1">
      <c r="A1" s="55" t="s">
        <v>1355</v>
      </c>
      <c r="B1" s="56" t="s">
        <v>1356</v>
      </c>
      <c r="C1" s="57" t="s">
        <v>1357</v>
      </c>
      <c r="D1" s="58" t="s">
        <v>6</v>
      </c>
      <c r="E1" s="659" t="s">
        <v>1358</v>
      </c>
    </row>
    <row r="2" spans="1:5" ht="35.15" customHeight="1" thickTop="1">
      <c r="A2" s="59">
        <v>1</v>
      </c>
      <c r="B2" s="60" t="s">
        <v>1359</v>
      </c>
      <c r="C2" s="61">
        <f>Star!B249</f>
        <v>182</v>
      </c>
      <c r="D2" s="61">
        <f>Star!E249</f>
        <v>5088461</v>
      </c>
      <c r="E2" s="660">
        <f>D2/100000</f>
        <v>50.884610000000002</v>
      </c>
    </row>
    <row r="3" spans="1:5" ht="35" customHeight="1">
      <c r="A3" s="534">
        <v>2</v>
      </c>
      <c r="B3" s="535" t="s">
        <v>1360</v>
      </c>
      <c r="C3" s="536">
        <f>Erg!B423</f>
        <v>376</v>
      </c>
      <c r="D3" s="638">
        <f>Erg!E423</f>
        <v>16918392</v>
      </c>
      <c r="E3" s="661">
        <f>D3/100000</f>
        <v>169.18392</v>
      </c>
    </row>
    <row r="4" spans="1:5" ht="35" customHeight="1">
      <c r="A4" s="534">
        <v>3</v>
      </c>
      <c r="B4" s="535" t="s">
        <v>1361</v>
      </c>
      <c r="C4" s="536">
        <f>Niva!B251</f>
        <v>190</v>
      </c>
      <c r="D4" s="638">
        <f>Niva!E251</f>
        <v>8472991</v>
      </c>
      <c r="E4" s="661">
        <f t="shared" ref="E4:E13" si="0">D4/100000</f>
        <v>84.729910000000004</v>
      </c>
    </row>
    <row r="5" spans="1:5" ht="35" customHeight="1">
      <c r="A5" s="534">
        <v>4</v>
      </c>
      <c r="B5" s="535" t="s">
        <v>1362</v>
      </c>
      <c r="C5" s="536">
        <f>Reli!B103</f>
        <v>76</v>
      </c>
      <c r="D5" s="638">
        <f>Reli!E103</f>
        <v>1632894</v>
      </c>
      <c r="E5" s="661">
        <f t="shared" si="0"/>
        <v>16.328939999999999</v>
      </c>
    </row>
    <row r="6" spans="1:5" ht="35" customHeight="1">
      <c r="A6" s="534">
        <v>5</v>
      </c>
      <c r="B6" s="535" t="s">
        <v>1364</v>
      </c>
      <c r="C6" s="638">
        <f>Care!A18</f>
        <v>15</v>
      </c>
      <c r="D6" s="638">
        <f>Care!E19</f>
        <v>1024487</v>
      </c>
      <c r="E6" s="661">
        <f>D6/100000</f>
        <v>10.244870000000001</v>
      </c>
    </row>
    <row r="7" spans="1:5" ht="35" customHeight="1">
      <c r="A7" s="534">
        <v>6</v>
      </c>
      <c r="B7" s="535" t="s">
        <v>1363</v>
      </c>
      <c r="C7" s="536">
        <f>'S.B.I'!A17</f>
        <v>14</v>
      </c>
      <c r="D7" s="638">
        <f>'S.B.I'!E18</f>
        <v>431852</v>
      </c>
      <c r="E7" s="661">
        <f>D7/100000</f>
        <v>4.3185200000000004</v>
      </c>
    </row>
    <row r="8" spans="1:5" ht="35" customHeight="1">
      <c r="A8" s="534">
        <v>7</v>
      </c>
      <c r="B8" s="535" t="s">
        <v>1365</v>
      </c>
      <c r="C8" s="536">
        <f>'Futr&amp;ICICI'!A7</f>
        <v>4</v>
      </c>
      <c r="D8" s="638">
        <f>'Futr&amp;ICICI'!E8</f>
        <v>152118</v>
      </c>
      <c r="E8" s="661">
        <f>D8/100000</f>
        <v>1.52118</v>
      </c>
    </row>
    <row r="9" spans="1:5" ht="35" customHeight="1">
      <c r="A9" s="534">
        <v>8</v>
      </c>
      <c r="B9" s="535" t="s">
        <v>2172</v>
      </c>
      <c r="C9" s="536">
        <f>'Futr&amp;ICICI'!A17</f>
        <v>4</v>
      </c>
      <c r="D9" s="638">
        <f>'Futr&amp;ICICI'!E18</f>
        <v>40295</v>
      </c>
      <c r="E9" s="661">
        <f>D9/100000</f>
        <v>0.40294999999999997</v>
      </c>
    </row>
    <row r="10" spans="1:5" ht="35" customHeight="1">
      <c r="A10" s="534">
        <v>9</v>
      </c>
      <c r="B10" s="535" t="s">
        <v>2554</v>
      </c>
      <c r="C10" s="536">
        <v>39</v>
      </c>
      <c r="D10" s="638">
        <f>'H.Life-P.Bdur'!F50</f>
        <v>4813608</v>
      </c>
      <c r="E10" s="661">
        <f t="shared" si="0"/>
        <v>48.13608</v>
      </c>
    </row>
    <row r="11" spans="1:5" ht="35" customHeight="1">
      <c r="A11" s="534">
        <v>10</v>
      </c>
      <c r="B11" s="535" t="s">
        <v>2555</v>
      </c>
      <c r="C11" s="536">
        <v>6</v>
      </c>
      <c r="D11" s="638">
        <f>'H.Life-A.Gupta'!F15</f>
        <v>638135</v>
      </c>
      <c r="E11" s="661">
        <f t="shared" si="0"/>
        <v>6.3813500000000003</v>
      </c>
    </row>
    <row r="12" spans="1:5" ht="35" customHeight="1">
      <c r="A12" s="534">
        <v>11</v>
      </c>
      <c r="B12" s="535" t="s">
        <v>2173</v>
      </c>
      <c r="C12" s="536">
        <f>'Kuldp-Veh'!A27</f>
        <v>23</v>
      </c>
      <c r="D12" s="638">
        <f>'Kuldp-Veh'!F28</f>
        <v>210710</v>
      </c>
      <c r="E12" s="661">
        <f t="shared" si="0"/>
        <v>2.1071</v>
      </c>
    </row>
    <row r="13" spans="1:5" ht="35" customHeight="1" thickBot="1">
      <c r="A13" s="823">
        <v>12</v>
      </c>
      <c r="B13" s="824" t="s">
        <v>1366</v>
      </c>
      <c r="C13" s="825">
        <v>4</v>
      </c>
      <c r="D13" s="826">
        <f>S.Ram!E12</f>
        <v>20173</v>
      </c>
      <c r="E13" s="827">
        <f t="shared" si="0"/>
        <v>0.20172999999999999</v>
      </c>
    </row>
    <row r="14" spans="1:5" s="52" customFormat="1" ht="46.5" customHeight="1" thickBot="1">
      <c r="A14" s="1210" t="s">
        <v>2737</v>
      </c>
      <c r="B14" s="1211"/>
      <c r="C14" s="828">
        <f>SUM(C2:C13)</f>
        <v>933</v>
      </c>
      <c r="D14" s="829">
        <f>SUM(D2:D13)</f>
        <v>39444116</v>
      </c>
      <c r="E14" s="830">
        <f>SUM(E2:E13)</f>
        <v>394.44115999999997</v>
      </c>
    </row>
    <row r="15" spans="1:5">
      <c r="D15" s="658"/>
    </row>
  </sheetData>
  <mergeCells count="1">
    <mergeCell ref="A14:B14"/>
  </mergeCells>
  <pageMargins left="1.1000000000000001" right="0" top="0.75" bottom="0" header="0.5" footer="0"/>
  <pageSetup scale="90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L443"/>
  <sheetViews>
    <sheetView topLeftCell="C340" zoomScale="85" zoomScaleNormal="85" workbookViewId="0">
      <selection activeCell="E363" sqref="E363"/>
    </sheetView>
  </sheetViews>
  <sheetFormatPr defaultColWidth="30" defaultRowHeight="11" customHeight="1"/>
  <cols>
    <col min="1" max="1" width="5.08984375" style="7" bestFit="1" customWidth="1"/>
    <col min="2" max="2" width="39.7265625" style="7" customWidth="1"/>
    <col min="3" max="3" width="47.1796875" style="7" bestFit="1" customWidth="1"/>
    <col min="4" max="4" width="17.453125" style="8" bestFit="1" customWidth="1"/>
    <col min="5" max="5" width="12.90625" style="7" bestFit="1" customWidth="1"/>
    <col min="6" max="6" width="13.453125" style="7" bestFit="1" customWidth="1"/>
    <col min="7" max="7" width="16.26953125" style="7" bestFit="1" customWidth="1"/>
    <col min="8" max="8" width="62.453125" style="7" bestFit="1" customWidth="1"/>
    <col min="9" max="9" width="23" style="7" bestFit="1" customWidth="1"/>
    <col min="10" max="10" width="13.90625" style="7" bestFit="1" customWidth="1"/>
    <col min="11" max="11" width="24.26953125" style="7" bestFit="1" customWidth="1"/>
    <col min="12" max="16384" width="30" style="7"/>
  </cols>
  <sheetData>
    <row r="1" spans="1:8" ht="11" customHeight="1" thickBot="1">
      <c r="A1" s="9" t="s">
        <v>2</v>
      </c>
      <c r="B1" s="10" t="s">
        <v>3</v>
      </c>
      <c r="C1" s="10" t="s">
        <v>4</v>
      </c>
      <c r="D1" s="11" t="s">
        <v>5</v>
      </c>
      <c r="E1" s="10" t="s">
        <v>6</v>
      </c>
      <c r="F1" s="11" t="s">
        <v>7</v>
      </c>
      <c r="G1" s="10" t="s">
        <v>8</v>
      </c>
      <c r="H1" s="12" t="s">
        <v>10</v>
      </c>
    </row>
    <row r="2" spans="1:8" ht="11" customHeight="1" thickBot="1">
      <c r="A2" s="1212" t="s">
        <v>1367</v>
      </c>
      <c r="B2" s="1213"/>
      <c r="C2" s="1213"/>
      <c r="D2" s="1213"/>
      <c r="E2" s="1213"/>
      <c r="F2" s="1213"/>
      <c r="G2" s="1213"/>
      <c r="H2" s="1214"/>
    </row>
    <row r="3" spans="1:8" ht="11" customHeight="1">
      <c r="A3" s="13">
        <v>1</v>
      </c>
      <c r="B3" s="14" t="s">
        <v>1368</v>
      </c>
      <c r="C3" s="14" t="s">
        <v>1369</v>
      </c>
      <c r="D3" s="15" t="s">
        <v>1370</v>
      </c>
      <c r="E3" s="16">
        <v>5912</v>
      </c>
      <c r="F3" s="17" t="s">
        <v>17</v>
      </c>
      <c r="G3" s="17">
        <v>9560743053</v>
      </c>
      <c r="H3" s="18" t="s">
        <v>1371</v>
      </c>
    </row>
    <row r="4" spans="1:8" s="1" customFormat="1" ht="11" customHeight="1">
      <c r="A4" s="19">
        <v>2</v>
      </c>
      <c r="B4" s="20" t="s">
        <v>1372</v>
      </c>
      <c r="C4" s="21" t="s">
        <v>1373</v>
      </c>
      <c r="D4" s="22" t="s">
        <v>1374</v>
      </c>
      <c r="E4" s="23">
        <v>23140</v>
      </c>
      <c r="F4" s="24" t="s">
        <v>29</v>
      </c>
      <c r="G4" s="24"/>
      <c r="H4" s="25"/>
    </row>
    <row r="5" spans="1:8" s="1" customFormat="1" ht="11" customHeight="1">
      <c r="A5" s="19">
        <v>3</v>
      </c>
      <c r="B5" s="20" t="s">
        <v>1375</v>
      </c>
      <c r="C5" s="21" t="s">
        <v>1376</v>
      </c>
      <c r="D5" s="22" t="s">
        <v>1377</v>
      </c>
      <c r="E5" s="23">
        <v>13452</v>
      </c>
      <c r="F5" s="24" t="s">
        <v>13</v>
      </c>
      <c r="G5" s="24">
        <v>8860141606</v>
      </c>
      <c r="H5" s="25"/>
    </row>
    <row r="6" spans="1:8" s="1" customFormat="1" ht="11" customHeight="1">
      <c r="A6" s="19">
        <v>4</v>
      </c>
      <c r="B6" s="20" t="s">
        <v>1378</v>
      </c>
      <c r="C6" s="21" t="s">
        <v>1379</v>
      </c>
      <c r="D6" s="22" t="s">
        <v>1380</v>
      </c>
      <c r="E6" s="23">
        <v>23087</v>
      </c>
      <c r="F6" s="24" t="s">
        <v>24</v>
      </c>
      <c r="G6" s="24">
        <v>9350153885</v>
      </c>
      <c r="H6" s="25"/>
    </row>
    <row r="7" spans="1:8" s="1" customFormat="1" ht="11" customHeight="1">
      <c r="A7" s="19">
        <v>5</v>
      </c>
      <c r="B7" s="20" t="s">
        <v>1381</v>
      </c>
      <c r="C7" s="21" t="s">
        <v>1382</v>
      </c>
      <c r="D7" s="22" t="s">
        <v>1383</v>
      </c>
      <c r="E7" s="23">
        <v>12296</v>
      </c>
      <c r="F7" s="24" t="s">
        <v>17</v>
      </c>
      <c r="G7" s="24">
        <v>9818077775</v>
      </c>
      <c r="H7" s="25"/>
    </row>
    <row r="8" spans="1:8" s="1" customFormat="1" ht="11" customHeight="1">
      <c r="A8" s="19">
        <v>6</v>
      </c>
      <c r="B8" s="20" t="s">
        <v>1384</v>
      </c>
      <c r="C8" s="21" t="s">
        <v>1385</v>
      </c>
      <c r="D8" s="22" t="s">
        <v>1386</v>
      </c>
      <c r="E8" s="23">
        <v>20455</v>
      </c>
      <c r="F8" s="24" t="s">
        <v>13</v>
      </c>
      <c r="G8" s="24">
        <v>9650420477</v>
      </c>
      <c r="H8" s="25" t="s">
        <v>1387</v>
      </c>
    </row>
    <row r="9" spans="1:8" s="1" customFormat="1" ht="11" customHeight="1">
      <c r="A9" s="19">
        <v>7</v>
      </c>
      <c r="B9" s="20" t="s">
        <v>1388</v>
      </c>
      <c r="C9" s="21" t="s">
        <v>1389</v>
      </c>
      <c r="D9" s="22" t="s">
        <v>1390</v>
      </c>
      <c r="E9" s="23">
        <v>38167</v>
      </c>
      <c r="F9" s="24" t="s">
        <v>29</v>
      </c>
      <c r="G9" s="24">
        <v>9971514713</v>
      </c>
      <c r="H9" s="26" t="s">
        <v>1391</v>
      </c>
    </row>
    <row r="10" spans="1:8" s="1" customFormat="1" ht="11" customHeight="1">
      <c r="A10" s="19">
        <v>8</v>
      </c>
      <c r="B10" s="20" t="s">
        <v>1392</v>
      </c>
      <c r="C10" s="21" t="s">
        <v>1393</v>
      </c>
      <c r="D10" s="22" t="s">
        <v>1394</v>
      </c>
      <c r="E10" s="23">
        <v>1251</v>
      </c>
      <c r="F10" s="24" t="s">
        <v>1395</v>
      </c>
      <c r="G10" s="24">
        <v>9810155750</v>
      </c>
      <c r="H10" s="26" t="s">
        <v>57</v>
      </c>
    </row>
    <row r="11" spans="1:8" s="1" customFormat="1" ht="11" customHeight="1">
      <c r="A11" s="19">
        <v>9</v>
      </c>
      <c r="B11" s="20" t="s">
        <v>1396</v>
      </c>
      <c r="C11" s="21" t="s">
        <v>1397</v>
      </c>
      <c r="D11" s="22" t="s">
        <v>1386</v>
      </c>
      <c r="E11" s="23">
        <v>1977</v>
      </c>
      <c r="F11" s="24" t="s">
        <v>223</v>
      </c>
      <c r="G11" s="24">
        <v>7838407778</v>
      </c>
      <c r="H11" s="26"/>
    </row>
    <row r="12" spans="1:8" s="1" customFormat="1" ht="11" customHeight="1">
      <c r="A12" s="19">
        <v>10</v>
      </c>
      <c r="B12" s="20" t="s">
        <v>1398</v>
      </c>
      <c r="C12" s="21" t="s">
        <v>1399</v>
      </c>
      <c r="D12" s="22" t="s">
        <v>1400</v>
      </c>
      <c r="E12" s="23">
        <v>23906</v>
      </c>
      <c r="F12" s="24" t="s">
        <v>99</v>
      </c>
      <c r="G12" s="24">
        <v>8800094801</v>
      </c>
      <c r="H12" s="26" t="s">
        <v>57</v>
      </c>
    </row>
    <row r="13" spans="1:8" s="1" customFormat="1" ht="11" customHeight="1">
      <c r="A13" s="19">
        <v>11</v>
      </c>
      <c r="B13" s="20" t="s">
        <v>1401</v>
      </c>
      <c r="C13" s="21" t="s">
        <v>1402</v>
      </c>
      <c r="D13" s="22" t="s">
        <v>1403</v>
      </c>
      <c r="E13" s="23">
        <v>18071</v>
      </c>
      <c r="F13" s="24" t="s">
        <v>17</v>
      </c>
      <c r="G13" s="24">
        <v>7827875507</v>
      </c>
      <c r="H13" s="26" t="s">
        <v>1404</v>
      </c>
    </row>
    <row r="14" spans="1:8" s="1" customFormat="1" ht="11" customHeight="1">
      <c r="A14" s="19">
        <v>12</v>
      </c>
      <c r="B14" s="20" t="s">
        <v>1405</v>
      </c>
      <c r="C14" s="21" t="s">
        <v>1406</v>
      </c>
      <c r="D14" s="22" t="s">
        <v>1407</v>
      </c>
      <c r="E14" s="23">
        <v>13500</v>
      </c>
      <c r="F14" s="24" t="s">
        <v>29</v>
      </c>
      <c r="G14" s="24">
        <v>8800227843</v>
      </c>
      <c r="H14" s="26"/>
    </row>
    <row r="15" spans="1:8" s="1" customFormat="1" ht="11" customHeight="1">
      <c r="A15" s="19">
        <v>13</v>
      </c>
      <c r="B15" s="20" t="s">
        <v>1408</v>
      </c>
      <c r="C15" s="21" t="s">
        <v>1409</v>
      </c>
      <c r="D15" s="22" t="s">
        <v>1410</v>
      </c>
      <c r="E15" s="23">
        <v>6632</v>
      </c>
      <c r="F15" s="24" t="s">
        <v>17</v>
      </c>
      <c r="G15" s="24">
        <v>9637473194</v>
      </c>
      <c r="H15" s="26" t="s">
        <v>1411</v>
      </c>
    </row>
    <row r="16" spans="1:8" s="1" customFormat="1" ht="11" customHeight="1">
      <c r="A16" s="19">
        <v>14</v>
      </c>
      <c r="B16" s="20" t="s">
        <v>1412</v>
      </c>
      <c r="C16" s="21" t="s">
        <v>1413</v>
      </c>
      <c r="D16" s="22" t="s">
        <v>1414</v>
      </c>
      <c r="E16" s="23">
        <v>58222</v>
      </c>
      <c r="F16" s="24" t="s">
        <v>21</v>
      </c>
      <c r="G16" s="24">
        <v>9582252364</v>
      </c>
      <c r="H16" s="1218" t="s">
        <v>1415</v>
      </c>
    </row>
    <row r="17" spans="1:8" s="1" customFormat="1" ht="11" customHeight="1">
      <c r="A17" s="19">
        <v>15</v>
      </c>
      <c r="B17" s="20" t="s">
        <v>1412</v>
      </c>
      <c r="C17" s="21" t="s">
        <v>1416</v>
      </c>
      <c r="D17" s="22" t="s">
        <v>1414</v>
      </c>
      <c r="E17" s="23">
        <v>2213</v>
      </c>
      <c r="F17" s="24" t="s">
        <v>21</v>
      </c>
      <c r="G17" s="24">
        <v>9582252365</v>
      </c>
      <c r="H17" s="1219"/>
    </row>
    <row r="18" spans="1:8" s="1" customFormat="1" ht="11" customHeight="1">
      <c r="A18" s="19">
        <v>16</v>
      </c>
      <c r="B18" s="20" t="s">
        <v>1417</v>
      </c>
      <c r="C18" s="21" t="s">
        <v>1418</v>
      </c>
      <c r="D18" s="22" t="s">
        <v>1419</v>
      </c>
      <c r="E18" s="23">
        <v>27754</v>
      </c>
      <c r="F18" s="24" t="s">
        <v>13</v>
      </c>
      <c r="G18" s="24">
        <v>8851281212</v>
      </c>
      <c r="H18" s="25" t="s">
        <v>1420</v>
      </c>
    </row>
    <row r="19" spans="1:8" s="1" customFormat="1" ht="11" customHeight="1">
      <c r="A19" s="19">
        <v>17</v>
      </c>
      <c r="B19" s="20" t="s">
        <v>1421</v>
      </c>
      <c r="C19" s="21" t="s">
        <v>1422</v>
      </c>
      <c r="D19" s="22" t="s">
        <v>1423</v>
      </c>
      <c r="E19" s="23">
        <v>15222</v>
      </c>
      <c r="F19" s="24" t="s">
        <v>29</v>
      </c>
      <c r="G19" s="24">
        <v>9312468227</v>
      </c>
      <c r="H19" s="25" t="s">
        <v>1424</v>
      </c>
    </row>
    <row r="20" spans="1:8" s="1" customFormat="1" ht="11" customHeight="1">
      <c r="A20" s="19">
        <v>18</v>
      </c>
      <c r="B20" s="20" t="s">
        <v>1425</v>
      </c>
      <c r="C20" s="21" t="s">
        <v>1426</v>
      </c>
      <c r="D20" s="22" t="s">
        <v>1427</v>
      </c>
      <c r="E20" s="23">
        <v>18821</v>
      </c>
      <c r="F20" s="24" t="s">
        <v>29</v>
      </c>
      <c r="G20" s="24">
        <v>9873085999</v>
      </c>
      <c r="H20" s="25" t="s">
        <v>1428</v>
      </c>
    </row>
    <row r="21" spans="1:8" s="1" customFormat="1" ht="11" customHeight="1">
      <c r="A21" s="19">
        <v>19</v>
      </c>
      <c r="B21" s="20" t="s">
        <v>1429</v>
      </c>
      <c r="C21" s="21" t="s">
        <v>1430</v>
      </c>
      <c r="D21" s="22" t="s">
        <v>1431</v>
      </c>
      <c r="E21" s="23">
        <v>22066</v>
      </c>
      <c r="F21" s="24" t="s">
        <v>17</v>
      </c>
      <c r="G21" s="24">
        <v>9990044230</v>
      </c>
      <c r="H21" s="25" t="s">
        <v>1432</v>
      </c>
    </row>
    <row r="22" spans="1:8" s="1" customFormat="1" ht="11" customHeight="1">
      <c r="A22" s="19">
        <v>20</v>
      </c>
      <c r="B22" s="20" t="s">
        <v>1433</v>
      </c>
      <c r="C22" s="21" t="s">
        <v>1434</v>
      </c>
      <c r="D22" s="22" t="s">
        <v>1435</v>
      </c>
      <c r="E22" s="23">
        <v>16461</v>
      </c>
      <c r="F22" s="24" t="s">
        <v>17</v>
      </c>
      <c r="G22" s="24" t="s">
        <v>1436</v>
      </c>
      <c r="H22" s="25" t="s">
        <v>1437</v>
      </c>
    </row>
    <row r="23" spans="1:8" s="1" customFormat="1" ht="11" customHeight="1">
      <c r="A23" s="19">
        <v>21</v>
      </c>
      <c r="B23" s="20" t="s">
        <v>1438</v>
      </c>
      <c r="C23" s="21" t="s">
        <v>1439</v>
      </c>
      <c r="D23" s="22" t="s">
        <v>1440</v>
      </c>
      <c r="E23" s="23">
        <v>25341</v>
      </c>
      <c r="F23" s="24" t="s">
        <v>24</v>
      </c>
      <c r="G23" s="24">
        <v>9212157342</v>
      </c>
      <c r="H23" s="18"/>
    </row>
    <row r="24" spans="1:8" s="1" customFormat="1" ht="11" customHeight="1">
      <c r="A24" s="19">
        <v>22</v>
      </c>
      <c r="B24" s="20" t="s">
        <v>1441</v>
      </c>
      <c r="C24" s="21" t="s">
        <v>1442</v>
      </c>
      <c r="D24" s="22" t="s">
        <v>1443</v>
      </c>
      <c r="E24" s="23">
        <v>39176</v>
      </c>
      <c r="F24" s="24" t="s">
        <v>17</v>
      </c>
      <c r="G24" s="24">
        <v>7086015702</v>
      </c>
      <c r="H24" s="18" t="s">
        <v>1444</v>
      </c>
    </row>
    <row r="25" spans="1:8" ht="11" customHeight="1">
      <c r="A25" s="19">
        <v>23</v>
      </c>
      <c r="B25" s="27" t="s">
        <v>1445</v>
      </c>
      <c r="C25" s="27" t="s">
        <v>1446</v>
      </c>
      <c r="D25" s="17" t="s">
        <v>1447</v>
      </c>
      <c r="E25" s="16">
        <v>18827</v>
      </c>
      <c r="F25" s="17" t="s">
        <v>29</v>
      </c>
      <c r="G25" s="17">
        <v>9457176005</v>
      </c>
      <c r="H25" s="18" t="s">
        <v>1371</v>
      </c>
    </row>
    <row r="26" spans="1:8" s="1" customFormat="1" ht="11" customHeight="1">
      <c r="A26" s="19">
        <v>24</v>
      </c>
      <c r="B26" s="20" t="s">
        <v>421</v>
      </c>
      <c r="C26" s="21" t="s">
        <v>1448</v>
      </c>
      <c r="D26" s="22" t="s">
        <v>1449</v>
      </c>
      <c r="E26" s="23">
        <v>34323</v>
      </c>
      <c r="F26" s="24" t="s">
        <v>17</v>
      </c>
      <c r="G26" s="24">
        <v>9811340443</v>
      </c>
      <c r="H26" s="25" t="s">
        <v>1437</v>
      </c>
    </row>
    <row r="27" spans="1:8" s="1" customFormat="1" ht="11" customHeight="1">
      <c r="A27" s="19">
        <v>25</v>
      </c>
      <c r="B27" s="20" t="s">
        <v>1450</v>
      </c>
      <c r="C27" s="21" t="s">
        <v>1451</v>
      </c>
      <c r="D27" s="22" t="s">
        <v>1452</v>
      </c>
      <c r="E27" s="23">
        <v>17416</v>
      </c>
      <c r="F27" s="24" t="s">
        <v>17</v>
      </c>
      <c r="G27" s="24">
        <v>9818303458</v>
      </c>
      <c r="H27" s="25" t="s">
        <v>1453</v>
      </c>
    </row>
    <row r="28" spans="1:8" s="1" customFormat="1" ht="11" customHeight="1">
      <c r="A28" s="19">
        <v>26</v>
      </c>
      <c r="B28" s="27" t="s">
        <v>1454</v>
      </c>
      <c r="C28" s="27" t="s">
        <v>1455</v>
      </c>
      <c r="D28" s="17" t="s">
        <v>1456</v>
      </c>
      <c r="E28" s="16">
        <v>8390</v>
      </c>
      <c r="F28" s="17" t="s">
        <v>13</v>
      </c>
      <c r="G28" s="17">
        <v>9821924791</v>
      </c>
      <c r="H28" s="1136" t="s">
        <v>1457</v>
      </c>
    </row>
    <row r="29" spans="1:8" s="1" customFormat="1" ht="11" customHeight="1">
      <c r="A29" s="19">
        <v>27</v>
      </c>
      <c r="B29" s="27" t="s">
        <v>1458</v>
      </c>
      <c r="C29" s="27" t="s">
        <v>1459</v>
      </c>
      <c r="D29" s="17" t="s">
        <v>1456</v>
      </c>
      <c r="E29" s="16">
        <v>8390</v>
      </c>
      <c r="F29" s="17" t="s">
        <v>13</v>
      </c>
      <c r="G29" s="17">
        <v>9717144540</v>
      </c>
      <c r="H29" s="1220"/>
    </row>
    <row r="30" spans="1:8" s="1" customFormat="1" ht="11" customHeight="1">
      <c r="A30" s="19">
        <v>28</v>
      </c>
      <c r="B30" s="27" t="s">
        <v>1460</v>
      </c>
      <c r="C30" s="27" t="s">
        <v>1461</v>
      </c>
      <c r="D30" s="17" t="s">
        <v>1456</v>
      </c>
      <c r="E30" s="16">
        <v>8390</v>
      </c>
      <c r="F30" s="17" t="s">
        <v>13</v>
      </c>
      <c r="G30" s="17">
        <v>9582856127</v>
      </c>
      <c r="H30" s="1137"/>
    </row>
    <row r="31" spans="1:8" s="1" customFormat="1" ht="11" customHeight="1">
      <c r="A31" s="19">
        <v>29</v>
      </c>
      <c r="B31" s="20" t="s">
        <v>1462</v>
      </c>
      <c r="C31" s="21" t="s">
        <v>1463</v>
      </c>
      <c r="D31" s="22" t="s">
        <v>1464</v>
      </c>
      <c r="E31" s="23">
        <v>15712</v>
      </c>
      <c r="F31" s="24" t="s">
        <v>17</v>
      </c>
      <c r="G31" s="24">
        <v>9013076542</v>
      </c>
      <c r="H31" s="18" t="s">
        <v>1465</v>
      </c>
    </row>
    <row r="32" spans="1:8" s="1" customFormat="1" ht="11" customHeight="1">
      <c r="A32" s="19">
        <v>30</v>
      </c>
      <c r="B32" s="20" t="s">
        <v>1466</v>
      </c>
      <c r="C32" s="21" t="s">
        <v>1467</v>
      </c>
      <c r="D32" s="22" t="s">
        <v>1468</v>
      </c>
      <c r="E32" s="23">
        <v>29728</v>
      </c>
      <c r="F32" s="24" t="s">
        <v>29</v>
      </c>
      <c r="G32" s="24">
        <v>8860390813</v>
      </c>
      <c r="H32" s="18" t="s">
        <v>1469</v>
      </c>
    </row>
    <row r="33" spans="1:8" s="1" customFormat="1" ht="11" customHeight="1">
      <c r="A33" s="19">
        <v>31</v>
      </c>
      <c r="B33" s="20" t="s">
        <v>1470</v>
      </c>
      <c r="C33" s="21" t="s">
        <v>1471</v>
      </c>
      <c r="D33" s="22" t="s">
        <v>1472</v>
      </c>
      <c r="E33" s="23">
        <v>5375</v>
      </c>
      <c r="F33" s="24" t="s">
        <v>17</v>
      </c>
      <c r="G33" s="24">
        <v>7042861911</v>
      </c>
      <c r="H33" s="18" t="s">
        <v>1473</v>
      </c>
    </row>
    <row r="34" spans="1:8" s="1" customFormat="1" ht="11" customHeight="1">
      <c r="A34" s="19">
        <v>32</v>
      </c>
      <c r="B34" s="20" t="s">
        <v>1474</v>
      </c>
      <c r="C34" s="21" t="s">
        <v>1475</v>
      </c>
      <c r="D34" s="22" t="s">
        <v>1476</v>
      </c>
      <c r="E34" s="23">
        <v>11901</v>
      </c>
      <c r="F34" s="24" t="s">
        <v>17</v>
      </c>
      <c r="G34" s="24">
        <v>7982752054</v>
      </c>
      <c r="H34" s="18" t="s">
        <v>164</v>
      </c>
    </row>
    <row r="35" spans="1:8" s="1" customFormat="1" ht="11" customHeight="1">
      <c r="A35" s="19">
        <v>33</v>
      </c>
      <c r="B35" s="20" t="s">
        <v>264</v>
      </c>
      <c r="C35" s="21" t="s">
        <v>1477</v>
      </c>
      <c r="D35" s="22" t="s">
        <v>1260</v>
      </c>
      <c r="E35" s="23">
        <v>6336</v>
      </c>
      <c r="F35" s="24" t="s">
        <v>84</v>
      </c>
      <c r="G35" s="24">
        <v>9899952456</v>
      </c>
      <c r="H35" s="18"/>
    </row>
    <row r="36" spans="1:8" s="1" customFormat="1" ht="11" customHeight="1">
      <c r="A36" s="19">
        <v>34</v>
      </c>
      <c r="B36" s="20" t="s">
        <v>1478</v>
      </c>
      <c r="C36" s="21" t="s">
        <v>1479</v>
      </c>
      <c r="D36" s="22" t="s">
        <v>1480</v>
      </c>
      <c r="E36" s="23">
        <v>22066</v>
      </c>
      <c r="F36" s="24" t="s">
        <v>17</v>
      </c>
      <c r="G36" s="24"/>
      <c r="H36" s="18" t="s">
        <v>1481</v>
      </c>
    </row>
    <row r="37" spans="1:8" s="1" customFormat="1" ht="11" customHeight="1">
      <c r="A37" s="19">
        <v>35</v>
      </c>
      <c r="B37" s="20" t="s">
        <v>1482</v>
      </c>
      <c r="C37" s="21" t="s">
        <v>1483</v>
      </c>
      <c r="D37" s="22" t="s">
        <v>1484</v>
      </c>
      <c r="E37" s="23">
        <v>30456</v>
      </c>
      <c r="F37" s="24" t="s">
        <v>17</v>
      </c>
      <c r="G37" s="24">
        <v>9310088856</v>
      </c>
      <c r="H37" s="18" t="s">
        <v>1485</v>
      </c>
    </row>
    <row r="38" spans="1:8" s="1" customFormat="1" ht="11" customHeight="1">
      <c r="A38" s="19">
        <v>36</v>
      </c>
      <c r="B38" s="20" t="s">
        <v>1486</v>
      </c>
      <c r="C38" s="21" t="s">
        <v>1487</v>
      </c>
      <c r="D38" s="22" t="s">
        <v>1488</v>
      </c>
      <c r="E38" s="23">
        <v>2344</v>
      </c>
      <c r="F38" s="24" t="s">
        <v>21</v>
      </c>
      <c r="G38" s="24">
        <v>9810246109</v>
      </c>
      <c r="H38" s="18" t="s">
        <v>1432</v>
      </c>
    </row>
    <row r="39" spans="1:8" s="1" customFormat="1" ht="11" customHeight="1">
      <c r="A39" s="19">
        <v>37</v>
      </c>
      <c r="B39" s="20" t="s">
        <v>1489</v>
      </c>
      <c r="C39" s="21" t="s">
        <v>1490</v>
      </c>
      <c r="D39" s="22" t="s">
        <v>1491</v>
      </c>
      <c r="E39" s="23">
        <v>57230</v>
      </c>
      <c r="F39" s="24" t="s">
        <v>17</v>
      </c>
      <c r="G39" s="24"/>
      <c r="H39" s="18" t="s">
        <v>1492</v>
      </c>
    </row>
    <row r="40" spans="1:8" s="1" customFormat="1" ht="11" customHeight="1">
      <c r="A40" s="19">
        <v>38</v>
      </c>
      <c r="B40" s="20" t="s">
        <v>1036</v>
      </c>
      <c r="C40" s="21" t="s">
        <v>1493</v>
      </c>
      <c r="D40" s="22" t="s">
        <v>1494</v>
      </c>
      <c r="E40" s="23">
        <v>33064</v>
      </c>
      <c r="F40" s="24" t="s">
        <v>99</v>
      </c>
      <c r="G40" s="24">
        <v>9212229015</v>
      </c>
      <c r="H40" s="18" t="s">
        <v>1469</v>
      </c>
    </row>
    <row r="41" spans="1:8" s="1" customFormat="1" ht="11" customHeight="1">
      <c r="A41" s="19">
        <v>39</v>
      </c>
      <c r="B41" s="20" t="s">
        <v>1495</v>
      </c>
      <c r="C41" s="21" t="s">
        <v>1496</v>
      </c>
      <c r="D41" s="22" t="s">
        <v>1497</v>
      </c>
      <c r="E41" s="23">
        <v>19364</v>
      </c>
      <c r="F41" s="24" t="s">
        <v>17</v>
      </c>
      <c r="G41" s="24">
        <v>9911327308</v>
      </c>
      <c r="H41" s="18"/>
    </row>
    <row r="42" spans="1:8" s="1" customFormat="1" ht="11" customHeight="1">
      <c r="A42" s="19">
        <v>40</v>
      </c>
      <c r="B42" s="20" t="s">
        <v>1498</v>
      </c>
      <c r="C42" s="21" t="s">
        <v>1499</v>
      </c>
      <c r="D42" s="22" t="s">
        <v>1500</v>
      </c>
      <c r="E42" s="23">
        <v>9523</v>
      </c>
      <c r="F42" s="24" t="s">
        <v>17</v>
      </c>
      <c r="G42" s="24">
        <v>9354500161</v>
      </c>
      <c r="H42" s="18"/>
    </row>
    <row r="43" spans="1:8" s="1" customFormat="1" ht="11" customHeight="1">
      <c r="A43" s="19">
        <v>41</v>
      </c>
      <c r="B43" s="20" t="s">
        <v>1501</v>
      </c>
      <c r="C43" s="21" t="s">
        <v>1502</v>
      </c>
      <c r="D43" s="22" t="s">
        <v>1503</v>
      </c>
      <c r="E43" s="23">
        <v>16922</v>
      </c>
      <c r="F43" s="24" t="s">
        <v>17</v>
      </c>
      <c r="G43" s="24">
        <v>9811222547</v>
      </c>
      <c r="H43" s="18" t="s">
        <v>1504</v>
      </c>
    </row>
    <row r="44" spans="1:8" s="1" customFormat="1" ht="11" customHeight="1">
      <c r="A44" s="19">
        <v>42</v>
      </c>
      <c r="B44" s="20" t="s">
        <v>60</v>
      </c>
      <c r="C44" s="21" t="s">
        <v>61</v>
      </c>
      <c r="D44" s="22" t="s">
        <v>62</v>
      </c>
      <c r="E44" s="23">
        <v>19081</v>
      </c>
      <c r="F44" s="24" t="s">
        <v>24</v>
      </c>
      <c r="G44" s="24">
        <v>7988113664</v>
      </c>
      <c r="H44" s="18" t="s">
        <v>2092</v>
      </c>
    </row>
    <row r="45" spans="1:8" s="1" customFormat="1" ht="11" customHeight="1">
      <c r="A45" s="19">
        <v>43</v>
      </c>
      <c r="B45" s="20" t="s">
        <v>85</v>
      </c>
      <c r="C45" s="21" t="s">
        <v>86</v>
      </c>
      <c r="D45" s="22" t="s">
        <v>87</v>
      </c>
      <c r="E45" s="23">
        <v>23194</v>
      </c>
      <c r="F45" s="24" t="s">
        <v>29</v>
      </c>
      <c r="G45" s="24">
        <v>7838207253</v>
      </c>
      <c r="H45" s="18" t="s">
        <v>2095</v>
      </c>
    </row>
    <row r="46" spans="1:8" s="1" customFormat="1" ht="11" customHeight="1">
      <c r="A46" s="19">
        <v>44</v>
      </c>
      <c r="B46" s="20" t="s">
        <v>71</v>
      </c>
      <c r="C46" s="21" t="s">
        <v>72</v>
      </c>
      <c r="D46" s="22" t="s">
        <v>73</v>
      </c>
      <c r="E46" s="23">
        <v>18979</v>
      </c>
      <c r="F46" s="24" t="s">
        <v>13</v>
      </c>
      <c r="G46" s="24">
        <v>9920572184</v>
      </c>
      <c r="H46" s="18"/>
    </row>
    <row r="47" spans="1:8" s="1" customFormat="1" ht="11" customHeight="1">
      <c r="A47" s="19">
        <v>45</v>
      </c>
      <c r="B47" s="20" t="s">
        <v>82</v>
      </c>
      <c r="C47" s="21" t="s">
        <v>83</v>
      </c>
      <c r="D47" s="22" t="s">
        <v>81</v>
      </c>
      <c r="E47" s="23">
        <v>6336</v>
      </c>
      <c r="F47" s="24" t="s">
        <v>84</v>
      </c>
      <c r="G47" s="24"/>
      <c r="H47" s="18"/>
    </row>
    <row r="48" spans="1:8" s="1" customFormat="1" ht="11" customHeight="1">
      <c r="A48" s="19">
        <v>46</v>
      </c>
      <c r="B48" s="20" t="s">
        <v>116</v>
      </c>
      <c r="C48" s="21" t="s">
        <v>117</v>
      </c>
      <c r="D48" s="22" t="s">
        <v>118</v>
      </c>
      <c r="E48" s="23">
        <v>33642</v>
      </c>
      <c r="F48" s="24" t="s">
        <v>17</v>
      </c>
      <c r="G48" s="24">
        <v>9818184896</v>
      </c>
      <c r="H48" s="18" t="s">
        <v>2095</v>
      </c>
    </row>
    <row r="49" spans="1:8" s="1" customFormat="1" ht="11" customHeight="1">
      <c r="A49" s="19">
        <v>47</v>
      </c>
      <c r="B49" s="20" t="s">
        <v>2339</v>
      </c>
      <c r="C49" s="21"/>
      <c r="D49" s="22" t="s">
        <v>2340</v>
      </c>
      <c r="E49" s="23">
        <v>23600</v>
      </c>
      <c r="F49" s="24"/>
      <c r="G49" s="24"/>
      <c r="H49" s="18" t="s">
        <v>1432</v>
      </c>
    </row>
    <row r="50" spans="1:8" s="1" customFormat="1" ht="11" customHeight="1">
      <c r="A50" s="19">
        <v>48</v>
      </c>
      <c r="B50" s="20" t="s">
        <v>2146</v>
      </c>
      <c r="C50" s="21" t="s">
        <v>123</v>
      </c>
      <c r="D50" s="22" t="s">
        <v>120</v>
      </c>
      <c r="E50" s="23">
        <v>1792</v>
      </c>
      <c r="F50" s="24" t="s">
        <v>69</v>
      </c>
      <c r="G50" s="24"/>
      <c r="H50" s="18"/>
    </row>
    <row r="51" spans="1:8" s="1" customFormat="1" ht="11" customHeight="1">
      <c r="A51" s="19">
        <v>49</v>
      </c>
      <c r="B51" s="20" t="s">
        <v>2148</v>
      </c>
      <c r="C51" s="21" t="s">
        <v>125</v>
      </c>
      <c r="D51" s="22" t="s">
        <v>120</v>
      </c>
      <c r="E51" s="23">
        <v>1792</v>
      </c>
      <c r="F51" s="24" t="s">
        <v>69</v>
      </c>
      <c r="G51" s="24"/>
      <c r="H51" s="18"/>
    </row>
    <row r="52" spans="1:8" s="1" customFormat="1" ht="11" customHeight="1">
      <c r="A52" s="19">
        <v>50</v>
      </c>
      <c r="B52" s="20" t="s">
        <v>2147</v>
      </c>
      <c r="C52" s="21" t="s">
        <v>124</v>
      </c>
      <c r="D52" s="22" t="s">
        <v>120</v>
      </c>
      <c r="E52" s="23">
        <v>1792</v>
      </c>
      <c r="F52" s="24" t="s">
        <v>69</v>
      </c>
      <c r="G52" s="24"/>
      <c r="H52" s="18"/>
    </row>
    <row r="53" spans="1:8" s="1" customFormat="1" ht="11" customHeight="1">
      <c r="A53" s="19">
        <v>51</v>
      </c>
      <c r="B53" s="20" t="s">
        <v>2150</v>
      </c>
      <c r="C53" s="21" t="s">
        <v>127</v>
      </c>
      <c r="D53" s="22" t="s">
        <v>120</v>
      </c>
      <c r="E53" s="23">
        <v>1792</v>
      </c>
      <c r="F53" s="24" t="s">
        <v>69</v>
      </c>
      <c r="G53" s="24"/>
      <c r="H53" s="18"/>
    </row>
    <row r="54" spans="1:8" s="1" customFormat="1" ht="11" customHeight="1">
      <c r="A54" s="19">
        <v>52</v>
      </c>
      <c r="B54" s="20" t="s">
        <v>161</v>
      </c>
      <c r="C54" s="21" t="s">
        <v>162</v>
      </c>
      <c r="D54" s="22" t="s">
        <v>163</v>
      </c>
      <c r="E54" s="23">
        <v>9510</v>
      </c>
      <c r="F54" s="24" t="s">
        <v>17</v>
      </c>
      <c r="G54" s="24">
        <v>9650381091</v>
      </c>
      <c r="H54" s="18" t="s">
        <v>164</v>
      </c>
    </row>
    <row r="55" spans="1:8" s="1" customFormat="1" ht="11" customHeight="1">
      <c r="A55" s="19">
        <v>53</v>
      </c>
      <c r="B55" s="20" t="s">
        <v>168</v>
      </c>
      <c r="C55" s="21" t="s">
        <v>169</v>
      </c>
      <c r="D55" s="22" t="s">
        <v>167</v>
      </c>
      <c r="E55" s="23">
        <v>16455</v>
      </c>
      <c r="F55" s="24" t="s">
        <v>13</v>
      </c>
      <c r="G55" s="24">
        <v>8650141078</v>
      </c>
      <c r="H55" s="18" t="s">
        <v>170</v>
      </c>
    </row>
    <row r="56" spans="1:8" s="1" customFormat="1" ht="11" customHeight="1">
      <c r="A56" s="19">
        <v>54</v>
      </c>
      <c r="B56" s="20" t="s">
        <v>185</v>
      </c>
      <c r="C56" s="21" t="s">
        <v>186</v>
      </c>
      <c r="D56" s="22" t="s">
        <v>187</v>
      </c>
      <c r="E56" s="23">
        <v>38499</v>
      </c>
      <c r="F56" s="24" t="s">
        <v>29</v>
      </c>
      <c r="G56" s="24">
        <v>9858663388</v>
      </c>
      <c r="H56" s="18"/>
    </row>
    <row r="57" spans="1:8" s="1" customFormat="1" ht="11" customHeight="1">
      <c r="A57" s="19">
        <v>55</v>
      </c>
      <c r="B57" s="20" t="s">
        <v>214</v>
      </c>
      <c r="C57" s="21" t="s">
        <v>215</v>
      </c>
      <c r="D57" s="22" t="s">
        <v>216</v>
      </c>
      <c r="E57" s="23">
        <v>24686</v>
      </c>
      <c r="F57" s="24" t="s">
        <v>13</v>
      </c>
      <c r="G57" s="24" t="s">
        <v>217</v>
      </c>
      <c r="H57" s="18" t="s">
        <v>2663</v>
      </c>
    </row>
    <row r="58" spans="1:8" s="1" customFormat="1" ht="11" customHeight="1">
      <c r="A58" s="19">
        <v>56</v>
      </c>
      <c r="B58" s="20" t="s">
        <v>233</v>
      </c>
      <c r="C58" s="21" t="s">
        <v>234</v>
      </c>
      <c r="D58" s="22" t="s">
        <v>235</v>
      </c>
      <c r="E58" s="23">
        <v>6337</v>
      </c>
      <c r="F58" s="24">
        <v>25000</v>
      </c>
      <c r="G58" s="24">
        <v>8586948202</v>
      </c>
      <c r="H58" s="18" t="s">
        <v>236</v>
      </c>
    </row>
    <row r="59" spans="1:8" s="1" customFormat="1" ht="11" customHeight="1">
      <c r="A59" s="19">
        <v>57</v>
      </c>
      <c r="B59" s="20" t="s">
        <v>241</v>
      </c>
      <c r="C59" s="21" t="s">
        <v>242</v>
      </c>
      <c r="D59" s="22" t="s">
        <v>240</v>
      </c>
      <c r="E59" s="23">
        <v>9122</v>
      </c>
      <c r="F59" s="24" t="s">
        <v>13</v>
      </c>
      <c r="G59" s="24">
        <v>8851527907</v>
      </c>
      <c r="H59" s="18" t="s">
        <v>2725</v>
      </c>
    </row>
    <row r="60" spans="1:8" s="1" customFormat="1" ht="11" customHeight="1">
      <c r="A60" s="19">
        <v>58</v>
      </c>
      <c r="B60" s="20" t="s">
        <v>230</v>
      </c>
      <c r="C60" s="21" t="s">
        <v>231</v>
      </c>
      <c r="D60" s="22" t="s">
        <v>232</v>
      </c>
      <c r="E60" s="23">
        <v>26432</v>
      </c>
      <c r="F60" s="24" t="s">
        <v>17</v>
      </c>
      <c r="G60" s="24">
        <v>9818342522</v>
      </c>
      <c r="H60" s="18" t="s">
        <v>2774</v>
      </c>
    </row>
    <row r="61" spans="1:8" s="1" customFormat="1" ht="11" customHeight="1">
      <c r="A61" s="19">
        <v>59</v>
      </c>
      <c r="B61" s="20" t="s">
        <v>2626</v>
      </c>
      <c r="C61" s="21"/>
      <c r="D61" s="22" t="s">
        <v>250</v>
      </c>
      <c r="E61" s="23">
        <v>24788</v>
      </c>
      <c r="F61" s="24" t="s">
        <v>13</v>
      </c>
      <c r="G61" s="24">
        <v>9560570060</v>
      </c>
      <c r="H61" s="18" t="s">
        <v>2829</v>
      </c>
    </row>
    <row r="62" spans="1:8" s="1" customFormat="1" ht="11" customHeight="1">
      <c r="A62" s="19">
        <v>60</v>
      </c>
      <c r="B62" s="20" t="s">
        <v>252</v>
      </c>
      <c r="C62" s="21" t="s">
        <v>253</v>
      </c>
      <c r="D62" s="22" t="s">
        <v>254</v>
      </c>
      <c r="E62" s="23">
        <v>23429</v>
      </c>
      <c r="F62" s="24" t="s">
        <v>17</v>
      </c>
      <c r="G62" s="24">
        <v>9958119505</v>
      </c>
      <c r="H62" s="18" t="s">
        <v>2828</v>
      </c>
    </row>
    <row r="63" spans="1:8" s="1" customFormat="1" ht="11" customHeight="1">
      <c r="A63" s="19">
        <v>14</v>
      </c>
      <c r="B63" s="20" t="s">
        <v>287</v>
      </c>
      <c r="C63" s="21" t="s">
        <v>288</v>
      </c>
      <c r="D63" s="22" t="s">
        <v>289</v>
      </c>
      <c r="E63" s="23">
        <v>27754</v>
      </c>
      <c r="F63" s="24" t="s">
        <v>13</v>
      </c>
      <c r="G63" s="24">
        <v>8851281212</v>
      </c>
      <c r="H63" s="18" t="s">
        <v>290</v>
      </c>
    </row>
    <row r="64" spans="1:8" s="1" customFormat="1" ht="11" customHeight="1">
      <c r="A64" s="19">
        <v>4</v>
      </c>
      <c r="B64" s="20" t="s">
        <v>268</v>
      </c>
      <c r="C64" s="21" t="s">
        <v>269</v>
      </c>
      <c r="D64" s="22" t="s">
        <v>270</v>
      </c>
      <c r="E64" s="23">
        <v>9781</v>
      </c>
      <c r="F64" s="24" t="s">
        <v>29</v>
      </c>
      <c r="G64" s="24">
        <v>9910708285</v>
      </c>
      <c r="H64" s="18" t="s">
        <v>2948</v>
      </c>
    </row>
    <row r="65" spans="1:10" s="1" customFormat="1" ht="11" customHeight="1">
      <c r="A65" s="19">
        <v>5</v>
      </c>
      <c r="B65" s="20" t="s">
        <v>299</v>
      </c>
      <c r="C65" s="21" t="s">
        <v>300</v>
      </c>
      <c r="D65" s="22" t="s">
        <v>301</v>
      </c>
      <c r="E65" s="23">
        <v>54917</v>
      </c>
      <c r="F65" s="24" t="s">
        <v>21</v>
      </c>
      <c r="G65" s="24">
        <v>9810735352</v>
      </c>
      <c r="H65" s="18" t="s">
        <v>2978</v>
      </c>
    </row>
    <row r="66" spans="1:10" s="1" customFormat="1" ht="11" customHeight="1">
      <c r="A66" s="19">
        <v>18</v>
      </c>
      <c r="B66" s="20" t="s">
        <v>335</v>
      </c>
      <c r="C66" s="21" t="s">
        <v>336</v>
      </c>
      <c r="D66" s="22" t="s">
        <v>337</v>
      </c>
      <c r="E66" s="23">
        <v>21115</v>
      </c>
      <c r="F66" s="24" t="s">
        <v>99</v>
      </c>
      <c r="G66" s="24"/>
      <c r="H66" s="18" t="s">
        <v>1437</v>
      </c>
    </row>
    <row r="67" spans="1:10" s="1" customFormat="1" ht="11" customHeight="1">
      <c r="A67" s="19">
        <v>11</v>
      </c>
      <c r="B67" s="20" t="s">
        <v>325</v>
      </c>
      <c r="C67" s="21" t="s">
        <v>326</v>
      </c>
      <c r="D67" s="22" t="s">
        <v>327</v>
      </c>
      <c r="E67" s="23">
        <v>17656</v>
      </c>
      <c r="F67" s="24" t="s">
        <v>13</v>
      </c>
      <c r="G67" s="24">
        <v>9560544278</v>
      </c>
      <c r="H67" s="18" t="s">
        <v>3148</v>
      </c>
    </row>
    <row r="68" spans="1:10" s="1" customFormat="1" ht="11" customHeight="1">
      <c r="A68" s="19">
        <v>12</v>
      </c>
      <c r="B68" s="20" t="s">
        <v>328</v>
      </c>
      <c r="C68" s="21" t="s">
        <v>329</v>
      </c>
      <c r="D68" s="22" t="s">
        <v>330</v>
      </c>
      <c r="E68" s="23">
        <v>23246</v>
      </c>
      <c r="F68" s="24" t="s">
        <v>17</v>
      </c>
      <c r="G68" s="24">
        <v>9897585927</v>
      </c>
      <c r="H68" s="18" t="s">
        <v>3148</v>
      </c>
    </row>
    <row r="69" spans="1:10" s="1" customFormat="1" ht="11" customHeight="1">
      <c r="A69" s="13">
        <v>4</v>
      </c>
      <c r="B69" s="14" t="s">
        <v>314</v>
      </c>
      <c r="C69" s="14" t="s">
        <v>315</v>
      </c>
      <c r="D69" s="15" t="s">
        <v>312</v>
      </c>
      <c r="E69" s="16">
        <v>30385</v>
      </c>
      <c r="F69" s="17" t="s">
        <v>17</v>
      </c>
      <c r="G69" s="17">
        <v>9354135141</v>
      </c>
      <c r="H69" s="18" t="s">
        <v>1481</v>
      </c>
    </row>
    <row r="70" spans="1:10" s="1" customFormat="1" ht="11" customHeight="1">
      <c r="A70" s="13">
        <v>10</v>
      </c>
      <c r="B70" s="14" t="s">
        <v>353</v>
      </c>
      <c r="C70" s="14" t="s">
        <v>354</v>
      </c>
      <c r="D70" s="15" t="s">
        <v>355</v>
      </c>
      <c r="E70" s="16">
        <v>30245</v>
      </c>
      <c r="F70" s="17" t="s">
        <v>344</v>
      </c>
      <c r="G70" s="17">
        <v>9818086104</v>
      </c>
      <c r="H70" s="18" t="s">
        <v>3443</v>
      </c>
    </row>
    <row r="71" spans="1:10" ht="11" customHeight="1">
      <c r="A71" s="501">
        <v>1</v>
      </c>
      <c r="B71" s="345" t="s">
        <v>41</v>
      </c>
      <c r="C71" s="345" t="s">
        <v>2233</v>
      </c>
      <c r="D71" s="346" t="s">
        <v>42</v>
      </c>
      <c r="E71" s="349">
        <v>5978</v>
      </c>
      <c r="F71" s="200" t="s">
        <v>29</v>
      </c>
      <c r="G71" s="200">
        <v>7827475670</v>
      </c>
      <c r="H71" s="348" t="s">
        <v>3497</v>
      </c>
      <c r="I71" s="18"/>
      <c r="J71" s="400"/>
    </row>
    <row r="73" spans="1:10" s="1" customFormat="1" ht="11" customHeight="1">
      <c r="A73" s="501">
        <v>3</v>
      </c>
      <c r="B73" s="741" t="s">
        <v>3496</v>
      </c>
      <c r="C73" s="741" t="s">
        <v>3595</v>
      </c>
      <c r="D73" s="742" t="s">
        <v>402</v>
      </c>
      <c r="E73" s="746">
        <v>18330</v>
      </c>
      <c r="F73" s="743" t="s">
        <v>13</v>
      </c>
      <c r="G73" s="743">
        <v>9210042706</v>
      </c>
      <c r="H73" s="834"/>
      <c r="I73" s="835"/>
    </row>
    <row r="74" spans="1:10" s="1" customFormat="1" ht="11" customHeight="1">
      <c r="A74" s="501">
        <v>4</v>
      </c>
      <c r="B74" s="741" t="s">
        <v>3508</v>
      </c>
      <c r="C74" s="741"/>
      <c r="D74" s="742" t="s">
        <v>402</v>
      </c>
      <c r="E74" s="746"/>
      <c r="F74" s="743"/>
      <c r="G74" s="743">
        <v>32</v>
      </c>
      <c r="H74" s="834"/>
      <c r="I74" s="835"/>
    </row>
    <row r="75" spans="1:10" s="4" customFormat="1" ht="11" customHeight="1">
      <c r="A75" s="501">
        <v>12</v>
      </c>
      <c r="B75" s="741" t="s">
        <v>30</v>
      </c>
      <c r="C75" s="741" t="s">
        <v>2235</v>
      </c>
      <c r="D75" s="742" t="s">
        <v>31</v>
      </c>
      <c r="E75" s="746">
        <v>20633</v>
      </c>
      <c r="F75" s="747" t="s">
        <v>17</v>
      </c>
      <c r="G75" s="743">
        <v>8447152596</v>
      </c>
      <c r="H75" s="350" t="s">
        <v>1432</v>
      </c>
      <c r="I75" s="745"/>
      <c r="J75" s="400"/>
    </row>
    <row r="76" spans="1:10" s="1" customFormat="1" ht="11" customHeight="1">
      <c r="A76" s="19"/>
      <c r="B76" s="20"/>
      <c r="C76" s="21"/>
      <c r="D76" s="22"/>
      <c r="E76" s="23"/>
      <c r="F76" s="24"/>
      <c r="G76" s="24"/>
      <c r="H76" s="18"/>
    </row>
    <row r="77" spans="1:10" s="4" customFormat="1" ht="45" customHeight="1">
      <c r="A77" s="501">
        <v>9</v>
      </c>
      <c r="B77" s="741" t="s">
        <v>53</v>
      </c>
      <c r="C77" s="741" t="s">
        <v>2234</v>
      </c>
      <c r="D77" s="742" t="s">
        <v>54</v>
      </c>
      <c r="E77" s="746">
        <v>26549</v>
      </c>
      <c r="F77" s="747" t="s">
        <v>13</v>
      </c>
      <c r="G77" s="743">
        <v>7355137478</v>
      </c>
      <c r="H77" s="748" t="s">
        <v>151</v>
      </c>
      <c r="I77" s="832"/>
      <c r="J77" s="400"/>
    </row>
    <row r="78" spans="1:10" s="1" customFormat="1" ht="11" customHeight="1">
      <c r="A78" s="19"/>
      <c r="B78" s="20"/>
      <c r="C78" s="21"/>
      <c r="D78" s="22"/>
      <c r="E78" s="23"/>
      <c r="F78" s="24"/>
      <c r="G78" s="24"/>
      <c r="H78" s="18"/>
    </row>
    <row r="79" spans="1:10" s="1" customFormat="1" ht="11" customHeight="1" thickBot="1">
      <c r="A79" s="19"/>
      <c r="B79" s="20"/>
      <c r="C79" s="21"/>
      <c r="D79" s="22"/>
      <c r="E79" s="23"/>
      <c r="F79" s="24"/>
      <c r="G79" s="24"/>
      <c r="H79" s="18"/>
    </row>
    <row r="80" spans="1:10" s="5" customFormat="1" ht="11" customHeight="1" thickBot="1">
      <c r="A80" s="1215" t="s">
        <v>1505</v>
      </c>
      <c r="B80" s="1216"/>
      <c r="C80" s="1216"/>
      <c r="D80" s="1216"/>
      <c r="E80" s="1216"/>
      <c r="F80" s="1216"/>
      <c r="G80" s="1216"/>
      <c r="H80" s="1217"/>
      <c r="I80" s="1"/>
    </row>
    <row r="81" spans="1:8" s="1" customFormat="1" ht="11" customHeight="1">
      <c r="A81" s="30">
        <v>1</v>
      </c>
      <c r="B81" s="28" t="s">
        <v>1506</v>
      </c>
      <c r="C81" s="28" t="s">
        <v>1507</v>
      </c>
      <c r="D81" s="31" t="s">
        <v>1508</v>
      </c>
      <c r="E81" s="32">
        <v>25788</v>
      </c>
      <c r="F81" s="33" t="s">
        <v>13</v>
      </c>
      <c r="G81" s="33">
        <v>9873299372</v>
      </c>
      <c r="H81" s="34" t="s">
        <v>1509</v>
      </c>
    </row>
    <row r="82" spans="1:8" s="1" customFormat="1" ht="11" customHeight="1">
      <c r="A82" s="13">
        <v>2</v>
      </c>
      <c r="B82" s="14" t="s">
        <v>1510</v>
      </c>
      <c r="C82" s="14" t="s">
        <v>1511</v>
      </c>
      <c r="D82" s="15" t="s">
        <v>1512</v>
      </c>
      <c r="E82" s="16">
        <v>21861</v>
      </c>
      <c r="F82" s="17" t="s">
        <v>29</v>
      </c>
      <c r="G82" s="17" t="s">
        <v>1513</v>
      </c>
      <c r="H82" s="18" t="s">
        <v>1514</v>
      </c>
    </row>
    <row r="83" spans="1:8" s="1" customFormat="1" ht="11" customHeight="1">
      <c r="A83" s="13">
        <v>3</v>
      </c>
      <c r="B83" s="14" t="s">
        <v>1515</v>
      </c>
      <c r="C83" s="14" t="s">
        <v>1516</v>
      </c>
      <c r="D83" s="15" t="s">
        <v>1512</v>
      </c>
      <c r="E83" s="16">
        <v>10198</v>
      </c>
      <c r="F83" s="17" t="s">
        <v>29</v>
      </c>
      <c r="G83" s="17"/>
      <c r="H83" s="18" t="s">
        <v>1514</v>
      </c>
    </row>
    <row r="84" spans="1:8" s="1" customFormat="1" ht="11" customHeight="1">
      <c r="A84" s="13">
        <v>4</v>
      </c>
      <c r="B84" s="14" t="s">
        <v>1517</v>
      </c>
      <c r="C84" s="14" t="s">
        <v>1518</v>
      </c>
      <c r="D84" s="15" t="s">
        <v>1519</v>
      </c>
      <c r="E84" s="16">
        <v>12698</v>
      </c>
      <c r="F84" s="17" t="s">
        <v>29</v>
      </c>
      <c r="G84" s="17">
        <v>8860300117</v>
      </c>
      <c r="H84" s="18" t="s">
        <v>1514</v>
      </c>
    </row>
    <row r="85" spans="1:8" s="1" customFormat="1" ht="11" customHeight="1">
      <c r="A85" s="13">
        <v>5</v>
      </c>
      <c r="B85" s="14" t="s">
        <v>1520</v>
      </c>
      <c r="C85" s="14" t="s">
        <v>1521</v>
      </c>
      <c r="D85" s="15" t="s">
        <v>1522</v>
      </c>
      <c r="E85" s="16">
        <v>55125</v>
      </c>
      <c r="F85" s="17" t="s">
        <v>29</v>
      </c>
      <c r="G85" s="17">
        <v>9871366778</v>
      </c>
      <c r="H85" s="18" t="s">
        <v>1523</v>
      </c>
    </row>
    <row r="86" spans="1:8" s="1" customFormat="1" ht="11" customHeight="1">
      <c r="A86" s="13">
        <v>6</v>
      </c>
      <c r="B86" s="14" t="s">
        <v>1524</v>
      </c>
      <c r="C86" s="14" t="s">
        <v>1525</v>
      </c>
      <c r="D86" s="15" t="s">
        <v>1526</v>
      </c>
      <c r="E86" s="16">
        <v>55487</v>
      </c>
      <c r="F86" s="17" t="s">
        <v>21</v>
      </c>
      <c r="G86" s="17" t="s">
        <v>1527</v>
      </c>
      <c r="H86" s="18" t="s">
        <v>1528</v>
      </c>
    </row>
    <row r="87" spans="1:8" s="1" customFormat="1" ht="11" customHeight="1">
      <c r="A87" s="13">
        <v>7</v>
      </c>
      <c r="B87" s="14" t="s">
        <v>1529</v>
      </c>
      <c r="C87" s="14" t="s">
        <v>1530</v>
      </c>
      <c r="D87" s="15" t="s">
        <v>1531</v>
      </c>
      <c r="E87" s="16">
        <v>2692</v>
      </c>
      <c r="F87" s="17" t="s">
        <v>13</v>
      </c>
      <c r="G87" s="17">
        <v>9971223629</v>
      </c>
      <c r="H87" s="18" t="s">
        <v>1532</v>
      </c>
    </row>
    <row r="88" spans="1:8" s="1" customFormat="1" ht="11" customHeight="1">
      <c r="A88" s="13">
        <v>8</v>
      </c>
      <c r="B88" s="14" t="s">
        <v>1533</v>
      </c>
      <c r="C88" s="14" t="s">
        <v>1534</v>
      </c>
      <c r="D88" s="15" t="s">
        <v>1535</v>
      </c>
      <c r="E88" s="16">
        <v>24477</v>
      </c>
      <c r="F88" s="17" t="s">
        <v>29</v>
      </c>
      <c r="G88" s="17" t="s">
        <v>1536</v>
      </c>
      <c r="H88" s="18" t="s">
        <v>1537</v>
      </c>
    </row>
    <row r="89" spans="1:8" s="1" customFormat="1" ht="11" customHeight="1">
      <c r="A89" s="13">
        <v>9</v>
      </c>
      <c r="B89" s="14" t="s">
        <v>1538</v>
      </c>
      <c r="C89" s="14" t="s">
        <v>1539</v>
      </c>
      <c r="D89" s="15" t="s">
        <v>1535</v>
      </c>
      <c r="E89" s="16">
        <v>24832</v>
      </c>
      <c r="F89" s="17" t="s">
        <v>13</v>
      </c>
      <c r="G89" s="17">
        <v>9990171600</v>
      </c>
      <c r="H89" s="18" t="s">
        <v>1540</v>
      </c>
    </row>
    <row r="90" spans="1:8" s="1" customFormat="1" ht="11" customHeight="1">
      <c r="A90" s="13">
        <v>10</v>
      </c>
      <c r="B90" s="14" t="s">
        <v>1541</v>
      </c>
      <c r="C90" s="14" t="s">
        <v>1542</v>
      </c>
      <c r="D90" s="15" t="s">
        <v>1543</v>
      </c>
      <c r="E90" s="16">
        <v>14429</v>
      </c>
      <c r="F90" s="17" t="s">
        <v>17</v>
      </c>
      <c r="G90" s="17">
        <v>9711189391</v>
      </c>
      <c r="H90" s="18"/>
    </row>
    <row r="91" spans="1:8" s="1" customFormat="1" ht="11" customHeight="1">
      <c r="A91" s="13">
        <v>11</v>
      </c>
      <c r="B91" s="14" t="s">
        <v>1544</v>
      </c>
      <c r="C91" s="14" t="s">
        <v>1545</v>
      </c>
      <c r="D91" s="15" t="s">
        <v>1546</v>
      </c>
      <c r="E91" s="16">
        <v>27944</v>
      </c>
      <c r="F91" s="17" t="s">
        <v>17</v>
      </c>
      <c r="G91" s="17">
        <v>9555787687</v>
      </c>
      <c r="H91" s="18" t="s">
        <v>381</v>
      </c>
    </row>
    <row r="92" spans="1:8" s="1" customFormat="1" ht="11" customHeight="1">
      <c r="A92" s="13">
        <v>12</v>
      </c>
      <c r="B92" s="14" t="s">
        <v>1529</v>
      </c>
      <c r="C92" s="14" t="s">
        <v>1547</v>
      </c>
      <c r="D92" s="15" t="s">
        <v>1548</v>
      </c>
      <c r="E92" s="16">
        <v>41135</v>
      </c>
      <c r="F92" s="17" t="s">
        <v>69</v>
      </c>
      <c r="G92" s="17">
        <v>9971223629</v>
      </c>
      <c r="H92" s="18" t="s">
        <v>1532</v>
      </c>
    </row>
    <row r="93" spans="1:8" s="1" customFormat="1" ht="11" customHeight="1">
      <c r="A93" s="13">
        <v>13</v>
      </c>
      <c r="B93" s="14" t="s">
        <v>1549</v>
      </c>
      <c r="C93" s="14" t="s">
        <v>1550</v>
      </c>
      <c r="D93" s="15" t="s">
        <v>1551</v>
      </c>
      <c r="E93" s="16">
        <v>25788</v>
      </c>
      <c r="F93" s="17" t="s">
        <v>13</v>
      </c>
      <c r="G93" s="17">
        <v>9811129848</v>
      </c>
      <c r="H93" s="18" t="s">
        <v>1552</v>
      </c>
    </row>
    <row r="94" spans="1:8" s="1" customFormat="1" ht="11" customHeight="1">
      <c r="A94" s="13">
        <v>14</v>
      </c>
      <c r="B94" s="14" t="s">
        <v>1553</v>
      </c>
      <c r="C94" s="14" t="s">
        <v>1554</v>
      </c>
      <c r="D94" s="15" t="s">
        <v>1555</v>
      </c>
      <c r="E94" s="16">
        <v>14162</v>
      </c>
      <c r="F94" s="17" t="s">
        <v>29</v>
      </c>
      <c r="G94" s="17" t="s">
        <v>1556</v>
      </c>
      <c r="H94" s="18" t="s">
        <v>1557</v>
      </c>
    </row>
    <row r="95" spans="1:8" s="1" customFormat="1" ht="11" customHeight="1">
      <c r="A95" s="13">
        <v>15</v>
      </c>
      <c r="B95" s="14" t="s">
        <v>1558</v>
      </c>
      <c r="C95" s="14" t="s">
        <v>1559</v>
      </c>
      <c r="D95" s="15" t="s">
        <v>1555</v>
      </c>
      <c r="E95" s="16">
        <v>14162</v>
      </c>
      <c r="F95" s="17" t="s">
        <v>29</v>
      </c>
      <c r="G95" s="17" t="s">
        <v>1560</v>
      </c>
      <c r="H95" s="18" t="s">
        <v>1557</v>
      </c>
    </row>
    <row r="96" spans="1:8" s="1" customFormat="1" ht="11" customHeight="1">
      <c r="A96" s="13">
        <v>16</v>
      </c>
      <c r="B96" s="14" t="s">
        <v>1561</v>
      </c>
      <c r="C96" s="14" t="s">
        <v>1562</v>
      </c>
      <c r="D96" s="15" t="s">
        <v>1563</v>
      </c>
      <c r="E96" s="16">
        <v>1503.32</v>
      </c>
      <c r="F96" s="17" t="s">
        <v>13</v>
      </c>
      <c r="G96" s="17"/>
      <c r="H96" s="18"/>
    </row>
    <row r="97" spans="1:8" s="1" customFormat="1" ht="11" customHeight="1">
      <c r="A97" s="13">
        <v>17</v>
      </c>
      <c r="B97" s="14" t="s">
        <v>1561</v>
      </c>
      <c r="C97" s="14" t="s">
        <v>1564</v>
      </c>
      <c r="D97" s="15" t="s">
        <v>1565</v>
      </c>
      <c r="E97" s="16">
        <v>25038</v>
      </c>
      <c r="F97" s="17" t="s">
        <v>29</v>
      </c>
      <c r="G97" s="17"/>
      <c r="H97" s="18"/>
    </row>
    <row r="98" spans="1:8" s="1" customFormat="1" ht="11" customHeight="1">
      <c r="A98" s="13">
        <v>18</v>
      </c>
      <c r="B98" s="14" t="s">
        <v>1566</v>
      </c>
      <c r="C98" s="14" t="s">
        <v>1567</v>
      </c>
      <c r="D98" s="15" t="s">
        <v>1565</v>
      </c>
      <c r="E98" s="16">
        <v>8741</v>
      </c>
      <c r="F98" s="17" t="s">
        <v>29</v>
      </c>
      <c r="G98" s="17"/>
      <c r="H98" s="18"/>
    </row>
    <row r="99" spans="1:8" s="1" customFormat="1" ht="11" customHeight="1">
      <c r="A99" s="13">
        <v>19</v>
      </c>
      <c r="B99" s="14" t="s">
        <v>1568</v>
      </c>
      <c r="C99" s="14" t="s">
        <v>1569</v>
      </c>
      <c r="D99" s="35" t="s">
        <v>1570</v>
      </c>
      <c r="E99" s="16">
        <v>14162</v>
      </c>
      <c r="F99" s="16" t="s">
        <v>29</v>
      </c>
      <c r="G99" s="17" t="s">
        <v>1571</v>
      </c>
      <c r="H99" s="36" t="s">
        <v>1572</v>
      </c>
    </row>
    <row r="100" spans="1:8" s="1" customFormat="1" ht="11" customHeight="1">
      <c r="A100" s="13">
        <v>20</v>
      </c>
      <c r="B100" s="14" t="s">
        <v>1573</v>
      </c>
      <c r="C100" s="14" t="s">
        <v>1574</v>
      </c>
      <c r="D100" s="35" t="s">
        <v>1386</v>
      </c>
      <c r="E100" s="16">
        <v>18440</v>
      </c>
      <c r="F100" s="16" t="s">
        <v>17</v>
      </c>
      <c r="G100" s="17">
        <v>7428787333</v>
      </c>
      <c r="H100" s="36"/>
    </row>
    <row r="101" spans="1:8" s="1" customFormat="1" ht="11" customHeight="1">
      <c r="A101" s="13">
        <v>21</v>
      </c>
      <c r="B101" s="14" t="s">
        <v>1575</v>
      </c>
      <c r="C101" s="14" t="s">
        <v>1576</v>
      </c>
      <c r="D101" s="35" t="s">
        <v>1577</v>
      </c>
      <c r="E101" s="16">
        <v>32688</v>
      </c>
      <c r="F101" s="16" t="s">
        <v>29</v>
      </c>
      <c r="G101" s="17" t="s">
        <v>1578</v>
      </c>
      <c r="H101" s="36"/>
    </row>
    <row r="102" spans="1:8" s="1" customFormat="1" ht="11" customHeight="1">
      <c r="A102" s="13">
        <v>22</v>
      </c>
      <c r="B102" s="14" t="s">
        <v>1579</v>
      </c>
      <c r="C102" s="14" t="s">
        <v>1580</v>
      </c>
      <c r="D102" s="35" t="s">
        <v>1581</v>
      </c>
      <c r="E102" s="16">
        <v>27547</v>
      </c>
      <c r="F102" s="16" t="s">
        <v>13</v>
      </c>
      <c r="G102" s="17">
        <v>8851909512</v>
      </c>
      <c r="H102" s="36"/>
    </row>
    <row r="103" spans="1:8" s="1" customFormat="1" ht="11" customHeight="1">
      <c r="A103" s="13">
        <v>23</v>
      </c>
      <c r="B103" s="14" t="s">
        <v>1582</v>
      </c>
      <c r="C103" s="14" t="s">
        <v>1583</v>
      </c>
      <c r="D103" s="35" t="s">
        <v>1407</v>
      </c>
      <c r="E103" s="16">
        <v>37977</v>
      </c>
      <c r="F103" s="16" t="s">
        <v>17</v>
      </c>
      <c r="G103" s="17">
        <v>8447530448</v>
      </c>
      <c r="H103" s="36"/>
    </row>
    <row r="104" spans="1:8" s="1" customFormat="1" ht="11" customHeight="1">
      <c r="A104" s="13">
        <v>24</v>
      </c>
      <c r="B104" s="14" t="s">
        <v>1584</v>
      </c>
      <c r="C104" s="14" t="s">
        <v>1585</v>
      </c>
      <c r="D104" s="35" t="s">
        <v>1403</v>
      </c>
      <c r="E104" s="16">
        <v>30193</v>
      </c>
      <c r="F104" s="16" t="s">
        <v>17</v>
      </c>
      <c r="G104" s="17">
        <v>7827708727</v>
      </c>
      <c r="H104" s="36" t="s">
        <v>189</v>
      </c>
    </row>
    <row r="105" spans="1:8" s="1" customFormat="1" ht="11" customHeight="1">
      <c r="A105" s="13">
        <v>25</v>
      </c>
      <c r="B105" s="14" t="s">
        <v>1586</v>
      </c>
      <c r="C105" s="14" t="s">
        <v>1587</v>
      </c>
      <c r="D105" s="35" t="s">
        <v>1588</v>
      </c>
      <c r="E105" s="16">
        <v>16377</v>
      </c>
      <c r="F105" s="16" t="s">
        <v>17</v>
      </c>
      <c r="G105" s="17">
        <v>9811387302</v>
      </c>
      <c r="H105" s="36" t="s">
        <v>1589</v>
      </c>
    </row>
    <row r="106" spans="1:8" s="1" customFormat="1" ht="11" customHeight="1">
      <c r="A106" s="13">
        <v>26</v>
      </c>
      <c r="B106" s="14" t="s">
        <v>1590</v>
      </c>
      <c r="C106" s="14" t="s">
        <v>1591</v>
      </c>
      <c r="D106" s="35" t="s">
        <v>1592</v>
      </c>
      <c r="E106" s="16">
        <v>14178</v>
      </c>
      <c r="F106" s="16" t="s">
        <v>17</v>
      </c>
      <c r="G106" s="17">
        <v>9899445767</v>
      </c>
      <c r="H106" s="36"/>
    </row>
    <row r="107" spans="1:8" s="1" customFormat="1" ht="11" customHeight="1">
      <c r="A107" s="13">
        <v>27</v>
      </c>
      <c r="B107" s="14" t="s">
        <v>1593</v>
      </c>
      <c r="C107" s="14" t="s">
        <v>1594</v>
      </c>
      <c r="D107" s="35" t="s">
        <v>1595</v>
      </c>
      <c r="E107" s="16">
        <v>30380</v>
      </c>
      <c r="F107" s="16" t="s">
        <v>17</v>
      </c>
      <c r="G107" s="17">
        <v>9213946230</v>
      </c>
      <c r="H107" s="36"/>
    </row>
    <row r="108" spans="1:8" s="1" customFormat="1" ht="11" customHeight="1">
      <c r="A108" s="13">
        <v>28</v>
      </c>
      <c r="B108" s="14" t="s">
        <v>1596</v>
      </c>
      <c r="C108" s="14" t="s">
        <v>1597</v>
      </c>
      <c r="D108" s="35" t="s">
        <v>1595</v>
      </c>
      <c r="E108" s="16">
        <v>32110</v>
      </c>
      <c r="F108" s="16" t="s">
        <v>29</v>
      </c>
      <c r="G108" s="17"/>
      <c r="H108" s="36"/>
    </row>
    <row r="109" spans="1:8" s="1" customFormat="1" ht="11" customHeight="1">
      <c r="A109" s="13">
        <v>29</v>
      </c>
      <c r="B109" s="14" t="s">
        <v>1598</v>
      </c>
      <c r="C109" s="14" t="s">
        <v>1599</v>
      </c>
      <c r="D109" s="35" t="s">
        <v>1600</v>
      </c>
      <c r="E109" s="16">
        <v>55839</v>
      </c>
      <c r="F109" s="16" t="s">
        <v>17</v>
      </c>
      <c r="G109" s="17">
        <v>7082183407</v>
      </c>
      <c r="H109" s="36"/>
    </row>
    <row r="110" spans="1:8" s="1" customFormat="1" ht="11" customHeight="1">
      <c r="A110" s="13">
        <v>30</v>
      </c>
      <c r="B110" s="14" t="s">
        <v>1601</v>
      </c>
      <c r="C110" s="14" t="s">
        <v>1602</v>
      </c>
      <c r="D110" s="35" t="s">
        <v>1603</v>
      </c>
      <c r="E110" s="16">
        <v>42141</v>
      </c>
      <c r="F110" s="16" t="s">
        <v>17</v>
      </c>
      <c r="G110" s="17">
        <v>9891261182</v>
      </c>
      <c r="H110" s="36" t="s">
        <v>1604</v>
      </c>
    </row>
    <row r="111" spans="1:8" s="1" customFormat="1" ht="11" customHeight="1">
      <c r="A111" s="13">
        <v>31</v>
      </c>
      <c r="B111" s="14" t="s">
        <v>1605</v>
      </c>
      <c r="C111" s="14" t="s">
        <v>1606</v>
      </c>
      <c r="D111" s="35" t="s">
        <v>1607</v>
      </c>
      <c r="E111" s="16">
        <v>31093</v>
      </c>
      <c r="F111" s="16" t="s">
        <v>17</v>
      </c>
      <c r="G111" s="17" t="s">
        <v>1608</v>
      </c>
      <c r="H111" s="36" t="s">
        <v>1532</v>
      </c>
    </row>
    <row r="112" spans="1:8" s="1" customFormat="1" ht="11" customHeight="1">
      <c r="A112" s="13">
        <v>32</v>
      </c>
      <c r="B112" s="14" t="s">
        <v>1609</v>
      </c>
      <c r="C112" s="14" t="s">
        <v>1610</v>
      </c>
      <c r="D112" s="35" t="s">
        <v>1611</v>
      </c>
      <c r="E112" s="16">
        <v>31363</v>
      </c>
      <c r="F112" s="16" t="s">
        <v>17</v>
      </c>
      <c r="G112" s="17">
        <v>9953480961</v>
      </c>
      <c r="H112" s="36"/>
    </row>
    <row r="113" spans="1:9" s="1" customFormat="1" ht="11" customHeight="1">
      <c r="A113" s="13">
        <v>33</v>
      </c>
      <c r="B113" s="14" t="s">
        <v>1612</v>
      </c>
      <c r="C113" s="14" t="s">
        <v>1613</v>
      </c>
      <c r="D113" s="35" t="s">
        <v>1614</v>
      </c>
      <c r="E113" s="16">
        <v>35899</v>
      </c>
      <c r="F113" s="16" t="s">
        <v>29</v>
      </c>
      <c r="G113" s="17">
        <v>9810001364</v>
      </c>
      <c r="H113" s="36"/>
    </row>
    <row r="114" spans="1:9" s="1" customFormat="1" ht="11" customHeight="1">
      <c r="A114" s="13">
        <v>34</v>
      </c>
      <c r="B114" s="14" t="s">
        <v>1615</v>
      </c>
      <c r="C114" s="14" t="s">
        <v>1616</v>
      </c>
      <c r="D114" s="35" t="s">
        <v>1617</v>
      </c>
      <c r="E114" s="16">
        <v>61446</v>
      </c>
      <c r="F114" s="16" t="s">
        <v>17</v>
      </c>
      <c r="G114" s="17">
        <v>9718809933</v>
      </c>
      <c r="H114" s="36"/>
    </row>
    <row r="115" spans="1:9" s="1" customFormat="1" ht="11" customHeight="1">
      <c r="A115" s="13">
        <v>35</v>
      </c>
      <c r="B115" s="14" t="s">
        <v>684</v>
      </c>
      <c r="C115" s="14" t="s">
        <v>1618</v>
      </c>
      <c r="D115" s="35" t="s">
        <v>1619</v>
      </c>
      <c r="E115" s="16">
        <v>2332</v>
      </c>
      <c r="F115" s="16">
        <v>204000</v>
      </c>
      <c r="G115" s="17"/>
      <c r="H115" s="36" t="s">
        <v>1620</v>
      </c>
    </row>
    <row r="116" spans="1:9" s="1" customFormat="1" ht="11" customHeight="1">
      <c r="A116" s="13">
        <v>36</v>
      </c>
      <c r="B116" s="14" t="s">
        <v>1621</v>
      </c>
      <c r="C116" s="14" t="s">
        <v>1622</v>
      </c>
      <c r="D116" s="35" t="s">
        <v>1623</v>
      </c>
      <c r="E116" s="16">
        <v>29561</v>
      </c>
      <c r="F116" s="16" t="s">
        <v>13</v>
      </c>
      <c r="G116" s="35">
        <v>9650725444</v>
      </c>
      <c r="H116" s="36">
        <v>9311449028</v>
      </c>
    </row>
    <row r="117" spans="1:9" s="1" customFormat="1" ht="11" customHeight="1">
      <c r="A117" s="13">
        <v>37</v>
      </c>
      <c r="B117" s="14" t="s">
        <v>1624</v>
      </c>
      <c r="C117" s="14" t="s">
        <v>1625</v>
      </c>
      <c r="D117" s="15" t="s">
        <v>1626</v>
      </c>
      <c r="E117" s="16">
        <v>40055</v>
      </c>
      <c r="F117" s="17" t="s">
        <v>17</v>
      </c>
      <c r="G117" s="17">
        <v>8447204808</v>
      </c>
      <c r="H117" s="18" t="s">
        <v>1481</v>
      </c>
    </row>
    <row r="118" spans="1:9" s="1" customFormat="1" ht="11" customHeight="1">
      <c r="A118" s="13">
        <v>38</v>
      </c>
      <c r="B118" s="14" t="s">
        <v>1627</v>
      </c>
      <c r="C118" s="14" t="s">
        <v>1628</v>
      </c>
      <c r="D118" s="15" t="s">
        <v>1629</v>
      </c>
      <c r="E118" s="16">
        <v>16478</v>
      </c>
      <c r="F118" s="17" t="s">
        <v>29</v>
      </c>
      <c r="G118" s="17">
        <v>9213946230</v>
      </c>
      <c r="H118" s="18" t="s">
        <v>1630</v>
      </c>
    </row>
    <row r="119" spans="1:9" s="1" customFormat="1" ht="11" customHeight="1">
      <c r="A119" s="13">
        <v>39</v>
      </c>
      <c r="B119" s="14" t="s">
        <v>1631</v>
      </c>
      <c r="C119" s="14" t="s">
        <v>1632</v>
      </c>
      <c r="D119" s="15" t="s">
        <v>1633</v>
      </c>
      <c r="E119" s="16">
        <v>20959</v>
      </c>
      <c r="F119" s="17" t="s">
        <v>17</v>
      </c>
      <c r="G119" s="17">
        <v>9540563403</v>
      </c>
      <c r="H119" s="18" t="s">
        <v>1371</v>
      </c>
    </row>
    <row r="120" spans="1:9" s="1" customFormat="1" ht="11" customHeight="1">
      <c r="A120" s="13">
        <v>40</v>
      </c>
      <c r="B120" s="14" t="s">
        <v>1634</v>
      </c>
      <c r="C120" s="14" t="s">
        <v>1635</v>
      </c>
      <c r="D120" s="15" t="s">
        <v>1636</v>
      </c>
      <c r="E120" s="16">
        <v>27789</v>
      </c>
      <c r="F120" s="17" t="s">
        <v>29</v>
      </c>
      <c r="G120" s="17">
        <v>9811546956</v>
      </c>
      <c r="H120" s="18"/>
      <c r="I120" s="1">
        <f>1989-2023</f>
        <v>-34</v>
      </c>
    </row>
    <row r="121" spans="1:9" s="1" customFormat="1" ht="11" customHeight="1">
      <c r="A121" s="13">
        <v>41</v>
      </c>
      <c r="B121" s="14" t="s">
        <v>1637</v>
      </c>
      <c r="C121" s="14" t="s">
        <v>1638</v>
      </c>
      <c r="D121" s="15" t="s">
        <v>1639</v>
      </c>
      <c r="E121" s="16">
        <v>22649</v>
      </c>
      <c r="F121" s="17" t="s">
        <v>29</v>
      </c>
      <c r="G121" s="17">
        <v>9899197828</v>
      </c>
      <c r="H121" s="18" t="s">
        <v>1640</v>
      </c>
    </row>
    <row r="122" spans="1:9" s="1" customFormat="1" ht="11" customHeight="1">
      <c r="A122" s="13">
        <v>42</v>
      </c>
      <c r="B122" s="14" t="s">
        <v>1641</v>
      </c>
      <c r="C122" s="14" t="s">
        <v>1642</v>
      </c>
      <c r="D122" s="15" t="s">
        <v>1643</v>
      </c>
      <c r="E122" s="16">
        <v>17691</v>
      </c>
      <c r="F122" s="17" t="s">
        <v>17</v>
      </c>
      <c r="G122" s="17">
        <v>7834922573</v>
      </c>
      <c r="H122" s="18" t="s">
        <v>1481</v>
      </c>
    </row>
    <row r="123" spans="1:9" s="1" customFormat="1" ht="11" customHeight="1">
      <c r="A123" s="13">
        <v>43</v>
      </c>
      <c r="B123" s="14" t="s">
        <v>1644</v>
      </c>
      <c r="C123" s="14" t="s">
        <v>1645</v>
      </c>
      <c r="D123" s="15" t="s">
        <v>1646</v>
      </c>
      <c r="E123" s="16">
        <v>34449</v>
      </c>
      <c r="F123" s="17" t="s">
        <v>17</v>
      </c>
      <c r="G123" s="17">
        <v>9045952189</v>
      </c>
      <c r="H123" s="18" t="s">
        <v>1647</v>
      </c>
    </row>
    <row r="124" spans="1:9" s="1" customFormat="1" ht="11" customHeight="1">
      <c r="A124" s="13">
        <v>44</v>
      </c>
      <c r="B124" s="14" t="s">
        <v>1648</v>
      </c>
      <c r="C124" s="14" t="s">
        <v>1649</v>
      </c>
      <c r="D124" s="15" t="s">
        <v>1650</v>
      </c>
      <c r="E124" s="16">
        <v>80791</v>
      </c>
      <c r="F124" s="17" t="s">
        <v>69</v>
      </c>
      <c r="G124" s="17">
        <v>9999600554</v>
      </c>
      <c r="H124" s="18" t="s">
        <v>1651</v>
      </c>
    </row>
    <row r="125" spans="1:9" s="1" customFormat="1" ht="11" customHeight="1">
      <c r="A125" s="13">
        <v>45</v>
      </c>
      <c r="B125" s="14" t="s">
        <v>1652</v>
      </c>
      <c r="C125" s="14" t="s">
        <v>1653</v>
      </c>
      <c r="D125" s="15" t="s">
        <v>1654</v>
      </c>
      <c r="E125" s="16">
        <v>27961</v>
      </c>
      <c r="F125" s="17" t="s">
        <v>13</v>
      </c>
      <c r="G125" s="17" t="s">
        <v>1655</v>
      </c>
      <c r="H125" s="18" t="s">
        <v>1656</v>
      </c>
    </row>
    <row r="126" spans="1:9" s="1" customFormat="1" ht="11" customHeight="1">
      <c r="A126" s="13">
        <v>46</v>
      </c>
      <c r="B126" s="14" t="s">
        <v>1657</v>
      </c>
      <c r="C126" s="14" t="s">
        <v>1658</v>
      </c>
      <c r="D126" s="15" t="s">
        <v>1654</v>
      </c>
      <c r="E126" s="16">
        <v>1503.32</v>
      </c>
      <c r="F126" s="17" t="s">
        <v>13</v>
      </c>
      <c r="G126" s="17" t="s">
        <v>1659</v>
      </c>
      <c r="H126" s="18" t="s">
        <v>1481</v>
      </c>
    </row>
    <row r="127" spans="1:9" s="1" customFormat="1" ht="11" customHeight="1">
      <c r="A127" s="13">
        <v>47</v>
      </c>
      <c r="B127" s="14" t="s">
        <v>1660</v>
      </c>
      <c r="C127" s="14" t="s">
        <v>1661</v>
      </c>
      <c r="D127" s="15" t="s">
        <v>1654</v>
      </c>
      <c r="E127" s="16">
        <v>27944</v>
      </c>
      <c r="F127" s="17" t="s">
        <v>17</v>
      </c>
      <c r="G127" s="17"/>
      <c r="H127" s="18"/>
    </row>
    <row r="128" spans="1:9" s="1" customFormat="1" ht="11" customHeight="1">
      <c r="A128" s="13">
        <v>48</v>
      </c>
      <c r="B128" s="14" t="s">
        <v>1662</v>
      </c>
      <c r="C128" s="14" t="s">
        <v>1663</v>
      </c>
      <c r="D128" s="15" t="s">
        <v>1664</v>
      </c>
      <c r="E128" s="16">
        <v>31043</v>
      </c>
      <c r="F128" s="17" t="s">
        <v>13</v>
      </c>
      <c r="G128" s="17" t="s">
        <v>1665</v>
      </c>
      <c r="H128" s="18" t="s">
        <v>531</v>
      </c>
    </row>
    <row r="129" spans="1:8" s="1" customFormat="1" ht="11" customHeight="1">
      <c r="A129" s="13">
        <v>49</v>
      </c>
      <c r="B129" s="14" t="s">
        <v>1666</v>
      </c>
      <c r="C129" s="14" t="s">
        <v>1667</v>
      </c>
      <c r="D129" s="15" t="s">
        <v>1668</v>
      </c>
      <c r="E129" s="16">
        <v>25521</v>
      </c>
      <c r="F129" s="17" t="s">
        <v>29</v>
      </c>
      <c r="G129" s="17">
        <v>9811810838</v>
      </c>
      <c r="H129" s="18"/>
    </row>
    <row r="130" spans="1:8" s="1" customFormat="1" ht="11" customHeight="1">
      <c r="A130" s="13">
        <v>50</v>
      </c>
      <c r="B130" s="14" t="s">
        <v>1669</v>
      </c>
      <c r="C130" s="14" t="s">
        <v>1670</v>
      </c>
      <c r="D130" s="15" t="s">
        <v>1671</v>
      </c>
      <c r="E130" s="16">
        <v>23045</v>
      </c>
      <c r="F130" s="17" t="s">
        <v>17</v>
      </c>
      <c r="G130" s="17" t="s">
        <v>1672</v>
      </c>
      <c r="H130" s="18" t="s">
        <v>1673</v>
      </c>
    </row>
    <row r="131" spans="1:8" s="1" customFormat="1" ht="11" customHeight="1">
      <c r="A131" s="13">
        <v>51</v>
      </c>
      <c r="B131" s="14" t="s">
        <v>1674</v>
      </c>
      <c r="C131" s="14" t="s">
        <v>1675</v>
      </c>
      <c r="D131" s="15" t="s">
        <v>1676</v>
      </c>
      <c r="E131" s="16">
        <v>19936</v>
      </c>
      <c r="F131" s="17" t="s">
        <v>29</v>
      </c>
      <c r="G131" s="17" t="s">
        <v>1677</v>
      </c>
      <c r="H131" s="18" t="s">
        <v>1678</v>
      </c>
    </row>
    <row r="132" spans="1:8" s="1" customFormat="1" ht="11" customHeight="1">
      <c r="A132" s="13">
        <v>52</v>
      </c>
      <c r="B132" s="14" t="s">
        <v>1679</v>
      </c>
      <c r="C132" s="14" t="s">
        <v>1680</v>
      </c>
      <c r="D132" s="15" t="s">
        <v>1681</v>
      </c>
      <c r="E132" s="16">
        <v>25568</v>
      </c>
      <c r="F132" s="17" t="s">
        <v>29</v>
      </c>
      <c r="G132" s="17" t="s">
        <v>1682</v>
      </c>
      <c r="H132" s="18" t="s">
        <v>1683</v>
      </c>
    </row>
    <row r="133" spans="1:8" s="1" customFormat="1" ht="11" customHeight="1">
      <c r="A133" s="13">
        <v>53</v>
      </c>
      <c r="B133" s="14" t="s">
        <v>1684</v>
      </c>
      <c r="C133" s="14" t="s">
        <v>2179</v>
      </c>
      <c r="D133" s="15" t="s">
        <v>1685</v>
      </c>
      <c r="E133" s="16">
        <v>31043</v>
      </c>
      <c r="F133" s="17" t="s">
        <v>13</v>
      </c>
      <c r="G133" s="17">
        <v>9268746881</v>
      </c>
      <c r="H133" s="18" t="s">
        <v>585</v>
      </c>
    </row>
    <row r="134" spans="1:8" s="1" customFormat="1" ht="11" customHeight="1">
      <c r="A134" s="13">
        <v>54</v>
      </c>
      <c r="B134" s="14" t="s">
        <v>1686</v>
      </c>
      <c r="C134" s="14" t="s">
        <v>1687</v>
      </c>
      <c r="D134" s="15" t="s">
        <v>1688</v>
      </c>
      <c r="E134" s="16">
        <v>25840</v>
      </c>
      <c r="F134" s="17" t="s">
        <v>29</v>
      </c>
      <c r="G134" s="17" t="s">
        <v>1689</v>
      </c>
      <c r="H134" s="18" t="s">
        <v>1481</v>
      </c>
    </row>
    <row r="135" spans="1:8" s="1" customFormat="1" ht="11" customHeight="1">
      <c r="A135" s="13">
        <v>55</v>
      </c>
      <c r="B135" s="14" t="s">
        <v>1690</v>
      </c>
      <c r="C135" s="14"/>
      <c r="D135" s="15"/>
      <c r="E135" s="16"/>
      <c r="F135" s="17"/>
      <c r="G135" s="17">
        <v>9313703696</v>
      </c>
      <c r="H135" s="18" t="s">
        <v>1683</v>
      </c>
    </row>
    <row r="136" spans="1:8" s="1" customFormat="1" ht="11" customHeight="1">
      <c r="A136" s="13">
        <v>56</v>
      </c>
      <c r="B136" s="14" t="s">
        <v>1691</v>
      </c>
      <c r="C136" s="14" t="s">
        <v>1692</v>
      </c>
      <c r="D136" s="15" t="s">
        <v>1693</v>
      </c>
      <c r="E136" s="16">
        <v>21340</v>
      </c>
      <c r="F136" s="17" t="s">
        <v>13</v>
      </c>
      <c r="G136" s="17">
        <v>9044464014</v>
      </c>
      <c r="H136" s="18" t="s">
        <v>1481</v>
      </c>
    </row>
    <row r="137" spans="1:8" s="1" customFormat="1" ht="11" customHeight="1">
      <c r="A137" s="13">
        <v>57</v>
      </c>
      <c r="B137" s="14" t="s">
        <v>1694</v>
      </c>
      <c r="C137" s="14" t="s">
        <v>1695</v>
      </c>
      <c r="D137" s="15" t="s">
        <v>1696</v>
      </c>
      <c r="E137" s="16">
        <v>19143</v>
      </c>
      <c r="F137" s="17" t="s">
        <v>17</v>
      </c>
      <c r="G137" s="17">
        <v>7838748006</v>
      </c>
      <c r="H137" s="18" t="s">
        <v>1481</v>
      </c>
    </row>
    <row r="138" spans="1:8" s="1" customFormat="1" ht="11" customHeight="1">
      <c r="A138" s="13">
        <v>58</v>
      </c>
      <c r="B138" s="14" t="s">
        <v>1697</v>
      </c>
      <c r="C138" s="14" t="s">
        <v>1698</v>
      </c>
      <c r="D138" s="15" t="s">
        <v>1699</v>
      </c>
      <c r="E138" s="16">
        <v>43307</v>
      </c>
      <c r="F138" s="17">
        <v>300000</v>
      </c>
      <c r="G138" s="17">
        <v>8860626698</v>
      </c>
      <c r="H138" s="18" t="s">
        <v>1371</v>
      </c>
    </row>
    <row r="139" spans="1:8" s="1" customFormat="1" ht="11" customHeight="1">
      <c r="A139" s="13">
        <v>59</v>
      </c>
      <c r="B139" s="14" t="s">
        <v>720</v>
      </c>
      <c r="C139" s="14" t="s">
        <v>2180</v>
      </c>
      <c r="D139" s="15" t="s">
        <v>1700</v>
      </c>
      <c r="E139" s="16">
        <v>12717</v>
      </c>
      <c r="F139" s="17" t="s">
        <v>17</v>
      </c>
      <c r="G139" s="17">
        <v>8130127437</v>
      </c>
      <c r="H139" s="18" t="s">
        <v>1371</v>
      </c>
    </row>
    <row r="140" spans="1:8" s="1" customFormat="1" ht="11" customHeight="1">
      <c r="A140" s="13">
        <v>60</v>
      </c>
      <c r="B140" s="14" t="s">
        <v>1327</v>
      </c>
      <c r="C140" s="14" t="s">
        <v>1701</v>
      </c>
      <c r="D140" s="15" t="s">
        <v>1702</v>
      </c>
      <c r="E140" s="16">
        <v>29959</v>
      </c>
      <c r="F140" s="17" t="s">
        <v>13</v>
      </c>
      <c r="G140" s="17">
        <v>7011574353</v>
      </c>
      <c r="H140" s="18" t="s">
        <v>1703</v>
      </c>
    </row>
    <row r="141" spans="1:8" s="1" customFormat="1" ht="11" customHeight="1">
      <c r="A141" s="13">
        <v>61</v>
      </c>
      <c r="B141" s="14" t="s">
        <v>1147</v>
      </c>
      <c r="C141" s="14" t="s">
        <v>1704</v>
      </c>
      <c r="D141" s="15" t="s">
        <v>1705</v>
      </c>
      <c r="E141" s="16">
        <v>30878</v>
      </c>
      <c r="F141" s="17" t="s">
        <v>17</v>
      </c>
      <c r="G141" s="17">
        <v>9899141408</v>
      </c>
      <c r="H141" s="18" t="s">
        <v>1703</v>
      </c>
    </row>
    <row r="142" spans="1:8" s="1" customFormat="1" ht="11" customHeight="1">
      <c r="A142" s="13">
        <v>62</v>
      </c>
      <c r="B142" s="14" t="s">
        <v>1706</v>
      </c>
      <c r="C142" s="14" t="s">
        <v>1707</v>
      </c>
      <c r="D142" s="15" t="s">
        <v>1708</v>
      </c>
      <c r="E142" s="16">
        <v>7511</v>
      </c>
      <c r="F142" s="17" t="s">
        <v>377</v>
      </c>
      <c r="G142" s="17" t="s">
        <v>1709</v>
      </c>
      <c r="H142" s="18" t="s">
        <v>1710</v>
      </c>
    </row>
    <row r="143" spans="1:8" s="1" customFormat="1" ht="11" customHeight="1">
      <c r="A143" s="13">
        <v>63</v>
      </c>
      <c r="B143" s="14" t="s">
        <v>1711</v>
      </c>
      <c r="C143" s="14" t="s">
        <v>1712</v>
      </c>
      <c r="D143" s="15" t="s">
        <v>1713</v>
      </c>
      <c r="E143" s="16">
        <v>37661</v>
      </c>
      <c r="F143" s="17" t="s">
        <v>17</v>
      </c>
      <c r="G143" s="17">
        <v>9911802253</v>
      </c>
      <c r="H143" s="18" t="s">
        <v>1428</v>
      </c>
    </row>
    <row r="144" spans="1:8" s="1" customFormat="1" ht="11" customHeight="1">
      <c r="A144" s="13">
        <v>64</v>
      </c>
      <c r="B144" s="14" t="s">
        <v>1714</v>
      </c>
      <c r="C144" s="14" t="s">
        <v>1715</v>
      </c>
      <c r="D144" s="15" t="s">
        <v>1716</v>
      </c>
      <c r="E144" s="16">
        <v>17597</v>
      </c>
      <c r="F144" s="17" t="s">
        <v>69</v>
      </c>
      <c r="G144" s="17">
        <v>9953424022</v>
      </c>
      <c r="H144" s="18" t="s">
        <v>1717</v>
      </c>
    </row>
    <row r="145" spans="1:8" s="1" customFormat="1" ht="11" customHeight="1">
      <c r="A145" s="13">
        <v>65</v>
      </c>
      <c r="B145" s="14" t="s">
        <v>1718</v>
      </c>
      <c r="C145" s="14"/>
      <c r="D145" s="15" t="s">
        <v>1719</v>
      </c>
      <c r="E145" s="16">
        <v>25437</v>
      </c>
      <c r="F145" s="17" t="s">
        <v>17</v>
      </c>
      <c r="G145" s="17"/>
      <c r="H145" s="18" t="s">
        <v>1720</v>
      </c>
    </row>
    <row r="146" spans="1:8" s="1" customFormat="1" ht="11" customHeight="1">
      <c r="A146" s="13">
        <v>66</v>
      </c>
      <c r="B146" s="14" t="s">
        <v>1721</v>
      </c>
      <c r="C146" s="14" t="s">
        <v>1722</v>
      </c>
      <c r="D146" s="15" t="s">
        <v>1723</v>
      </c>
      <c r="E146" s="16">
        <v>27542</v>
      </c>
      <c r="F146" s="17" t="s">
        <v>17</v>
      </c>
      <c r="G146" s="17">
        <v>8373913368</v>
      </c>
      <c r="H146" s="18" t="s">
        <v>1724</v>
      </c>
    </row>
    <row r="147" spans="1:8" s="1" customFormat="1" ht="11" customHeight="1">
      <c r="A147" s="13">
        <v>67</v>
      </c>
      <c r="B147" s="14" t="s">
        <v>1725</v>
      </c>
      <c r="C147" s="14" t="s">
        <v>1726</v>
      </c>
      <c r="D147" s="15" t="s">
        <v>1727</v>
      </c>
      <c r="E147" s="16">
        <v>23555</v>
      </c>
      <c r="F147" s="17" t="s">
        <v>29</v>
      </c>
      <c r="G147" s="17">
        <v>9999509786</v>
      </c>
      <c r="H147" s="18"/>
    </row>
    <row r="148" spans="1:8" s="1" customFormat="1" ht="11" customHeight="1">
      <c r="A148" s="13">
        <v>68</v>
      </c>
      <c r="B148" s="14" t="s">
        <v>1728</v>
      </c>
      <c r="C148" s="14" t="s">
        <v>1729</v>
      </c>
      <c r="D148" s="15" t="s">
        <v>1730</v>
      </c>
      <c r="E148" s="16">
        <v>20468</v>
      </c>
      <c r="F148" s="17" t="s">
        <v>76</v>
      </c>
      <c r="G148" s="17">
        <v>9990744222</v>
      </c>
      <c r="H148" s="18"/>
    </row>
    <row r="149" spans="1:8" s="1" customFormat="1" ht="11" customHeight="1">
      <c r="A149" s="13">
        <v>69</v>
      </c>
      <c r="B149" s="14" t="s">
        <v>1731</v>
      </c>
      <c r="C149" s="14" t="s">
        <v>1732</v>
      </c>
      <c r="D149" s="15" t="s">
        <v>1733</v>
      </c>
      <c r="E149" s="16">
        <v>12397</v>
      </c>
      <c r="F149" s="17" t="s">
        <v>29</v>
      </c>
      <c r="G149" s="17"/>
      <c r="H149" s="18" t="s">
        <v>365</v>
      </c>
    </row>
    <row r="150" spans="1:8" s="1" customFormat="1" ht="11" customHeight="1">
      <c r="A150" s="13">
        <v>70</v>
      </c>
      <c r="B150" s="14" t="s">
        <v>1734</v>
      </c>
      <c r="C150" s="14" t="s">
        <v>1735</v>
      </c>
      <c r="D150" s="15" t="s">
        <v>1736</v>
      </c>
      <c r="E150" s="16">
        <v>56220</v>
      </c>
      <c r="F150" s="17" t="s">
        <v>17</v>
      </c>
      <c r="G150" s="17">
        <v>9818399955</v>
      </c>
      <c r="H150" s="18" t="s">
        <v>1532</v>
      </c>
    </row>
    <row r="151" spans="1:8" s="1" customFormat="1" ht="11" customHeight="1">
      <c r="A151" s="13">
        <v>71</v>
      </c>
      <c r="B151" s="14" t="s">
        <v>371</v>
      </c>
      <c r="C151" s="14" t="s">
        <v>1737</v>
      </c>
      <c r="D151" s="15" t="s">
        <v>1738</v>
      </c>
      <c r="E151" s="16">
        <v>28019</v>
      </c>
      <c r="F151" s="17" t="s">
        <v>17</v>
      </c>
      <c r="G151" s="17">
        <v>9813078846</v>
      </c>
      <c r="H151" s="18"/>
    </row>
    <row r="152" spans="1:8" s="1" customFormat="1" ht="11" customHeight="1">
      <c r="A152" s="13">
        <v>72</v>
      </c>
      <c r="B152" s="14" t="s">
        <v>1739</v>
      </c>
      <c r="C152" s="14" t="s">
        <v>1740</v>
      </c>
      <c r="D152" s="15" t="s">
        <v>1738</v>
      </c>
      <c r="E152" s="16">
        <v>15674</v>
      </c>
      <c r="F152" s="17" t="s">
        <v>17</v>
      </c>
      <c r="G152" s="17">
        <v>8708926562</v>
      </c>
      <c r="H152" s="18"/>
    </row>
    <row r="153" spans="1:8" s="1" customFormat="1" ht="11" customHeight="1">
      <c r="A153" s="13">
        <v>73</v>
      </c>
      <c r="B153" s="14" t="s">
        <v>1741</v>
      </c>
      <c r="C153" s="14" t="s">
        <v>1742</v>
      </c>
      <c r="D153" s="15" t="s">
        <v>1743</v>
      </c>
      <c r="E153" s="16">
        <v>19090</v>
      </c>
      <c r="F153" s="17" t="s">
        <v>13</v>
      </c>
      <c r="G153" s="17"/>
      <c r="H153" s="18" t="s">
        <v>365</v>
      </c>
    </row>
    <row r="154" spans="1:8" s="1" customFormat="1" ht="11" customHeight="1">
      <c r="A154" s="13">
        <v>74</v>
      </c>
      <c r="B154" s="14" t="s">
        <v>1744</v>
      </c>
      <c r="C154" s="14" t="s">
        <v>1745</v>
      </c>
      <c r="D154" s="15" t="s">
        <v>367</v>
      </c>
      <c r="E154" s="16">
        <v>36495</v>
      </c>
      <c r="F154" s="17" t="s">
        <v>17</v>
      </c>
      <c r="G154" s="17">
        <v>9818864346</v>
      </c>
      <c r="H154" s="18" t="s">
        <v>1746</v>
      </c>
    </row>
    <row r="155" spans="1:8" s="1" customFormat="1" ht="11" customHeight="1">
      <c r="A155" s="13">
        <v>75</v>
      </c>
      <c r="B155" s="14" t="s">
        <v>1747</v>
      </c>
      <c r="C155" s="14" t="s">
        <v>1748</v>
      </c>
      <c r="D155" s="15" t="s">
        <v>1321</v>
      </c>
      <c r="E155" s="16">
        <v>27944</v>
      </c>
      <c r="F155" s="17" t="s">
        <v>17</v>
      </c>
      <c r="G155" s="17" t="s">
        <v>1749</v>
      </c>
      <c r="H155" s="18" t="s">
        <v>1750</v>
      </c>
    </row>
    <row r="156" spans="1:8" s="1" customFormat="1" ht="11" customHeight="1">
      <c r="A156" s="13">
        <v>76</v>
      </c>
      <c r="B156" s="14" t="s">
        <v>1751</v>
      </c>
      <c r="C156" s="14" t="s">
        <v>1752</v>
      </c>
      <c r="D156" s="15" t="s">
        <v>1275</v>
      </c>
      <c r="E156" s="16">
        <v>16784</v>
      </c>
      <c r="F156" s="17" t="s">
        <v>13</v>
      </c>
      <c r="G156" s="17"/>
      <c r="H156" s="18" t="s">
        <v>1753</v>
      </c>
    </row>
    <row r="157" spans="1:8" s="1" customFormat="1" ht="11" customHeight="1">
      <c r="A157" s="13">
        <v>77</v>
      </c>
      <c r="B157" s="14" t="s">
        <v>1754</v>
      </c>
      <c r="C157" s="14" t="s">
        <v>1755</v>
      </c>
      <c r="D157" s="15" t="s">
        <v>1503</v>
      </c>
      <c r="E157" s="16">
        <v>20960</v>
      </c>
      <c r="F157" s="17" t="s">
        <v>17</v>
      </c>
      <c r="G157" s="17">
        <v>9911000889</v>
      </c>
      <c r="H157" s="18" t="s">
        <v>1428</v>
      </c>
    </row>
    <row r="158" spans="1:8" s="1" customFormat="1" ht="11" customHeight="1">
      <c r="A158" s="13">
        <v>78</v>
      </c>
      <c r="B158" s="14" t="s">
        <v>1524</v>
      </c>
      <c r="C158" s="14" t="s">
        <v>1756</v>
      </c>
      <c r="D158" s="15" t="s">
        <v>434</v>
      </c>
      <c r="E158" s="16">
        <v>16303</v>
      </c>
      <c r="F158" s="17" t="s">
        <v>427</v>
      </c>
      <c r="G158" s="17">
        <v>9213141583</v>
      </c>
      <c r="H158" s="18" t="s">
        <v>1757</v>
      </c>
    </row>
    <row r="159" spans="1:8" s="1" customFormat="1" ht="11" customHeight="1">
      <c r="A159" s="13">
        <v>79</v>
      </c>
      <c r="B159" s="14" t="s">
        <v>1758</v>
      </c>
      <c r="C159" s="14" t="s">
        <v>1759</v>
      </c>
      <c r="D159" s="15" t="s">
        <v>1282</v>
      </c>
      <c r="E159" s="16">
        <v>10792</v>
      </c>
      <c r="F159" s="17" t="s">
        <v>17</v>
      </c>
      <c r="G159" s="17">
        <v>8126740939</v>
      </c>
      <c r="H159" s="18" t="s">
        <v>1760</v>
      </c>
    </row>
    <row r="160" spans="1:8" s="1" customFormat="1" ht="11" customHeight="1">
      <c r="A160" s="13">
        <v>80</v>
      </c>
      <c r="B160" s="14" t="s">
        <v>1761</v>
      </c>
      <c r="C160" s="14" t="s">
        <v>1762</v>
      </c>
      <c r="D160" s="15" t="s">
        <v>1763</v>
      </c>
      <c r="E160" s="16">
        <v>73309</v>
      </c>
      <c r="F160" s="17" t="s">
        <v>17</v>
      </c>
      <c r="G160" s="17">
        <v>9999695772</v>
      </c>
      <c r="H160" s="18"/>
    </row>
    <row r="161" spans="1:8" s="1" customFormat="1" ht="11" customHeight="1">
      <c r="A161" s="13">
        <v>81</v>
      </c>
      <c r="B161" s="14" t="s">
        <v>465</v>
      </c>
      <c r="C161" s="14" t="s">
        <v>466</v>
      </c>
      <c r="D161" s="15" t="s">
        <v>467</v>
      </c>
      <c r="E161" s="16">
        <v>33193</v>
      </c>
      <c r="F161" s="17" t="s">
        <v>29</v>
      </c>
      <c r="G161" s="17">
        <v>9818206626</v>
      </c>
      <c r="H161" s="18"/>
    </row>
    <row r="162" spans="1:8" s="1" customFormat="1" ht="11" customHeight="1">
      <c r="A162" s="13">
        <v>82</v>
      </c>
      <c r="B162" s="14" t="s">
        <v>482</v>
      </c>
      <c r="C162" s="14" t="s">
        <v>483</v>
      </c>
      <c r="D162" s="15" t="s">
        <v>484</v>
      </c>
      <c r="E162" s="16">
        <v>10050</v>
      </c>
      <c r="F162" s="17" t="s">
        <v>485</v>
      </c>
      <c r="G162" s="17">
        <v>9560056736</v>
      </c>
      <c r="H162" s="18" t="s">
        <v>2119</v>
      </c>
    </row>
    <row r="163" spans="1:8" s="1" customFormat="1" ht="11" customHeight="1">
      <c r="A163" s="13">
        <v>83</v>
      </c>
      <c r="B163" s="14" t="s">
        <v>499</v>
      </c>
      <c r="C163" s="14" t="s">
        <v>500</v>
      </c>
      <c r="D163" s="15" t="s">
        <v>494</v>
      </c>
      <c r="E163" s="16">
        <v>65045</v>
      </c>
      <c r="F163" s="17" t="s">
        <v>17</v>
      </c>
      <c r="G163" s="17">
        <v>9717795507</v>
      </c>
      <c r="H163" s="18" t="s">
        <v>2118</v>
      </c>
    </row>
    <row r="164" spans="1:8" s="1" customFormat="1" ht="11" customHeight="1">
      <c r="A164" s="13">
        <v>84</v>
      </c>
      <c r="B164" s="14" t="s">
        <v>543</v>
      </c>
      <c r="C164" s="14" t="s">
        <v>544</v>
      </c>
      <c r="D164" s="15" t="s">
        <v>92</v>
      </c>
      <c r="E164" s="16">
        <v>1547</v>
      </c>
      <c r="F164" s="17" t="s">
        <v>17</v>
      </c>
      <c r="G164" s="17">
        <v>9810246109</v>
      </c>
      <c r="H164" s="18" t="s">
        <v>1432</v>
      </c>
    </row>
    <row r="165" spans="1:8" s="1" customFormat="1" ht="11" customHeight="1">
      <c r="A165" s="13">
        <v>85</v>
      </c>
      <c r="B165" s="14" t="s">
        <v>545</v>
      </c>
      <c r="C165" s="14" t="s">
        <v>546</v>
      </c>
      <c r="D165" s="15" t="s">
        <v>92</v>
      </c>
      <c r="E165" s="16">
        <v>7933.67</v>
      </c>
      <c r="F165" s="17" t="s">
        <v>547</v>
      </c>
      <c r="G165" s="17">
        <v>7028012721</v>
      </c>
      <c r="H165" s="18" t="s">
        <v>1514</v>
      </c>
    </row>
    <row r="166" spans="1:8" s="1" customFormat="1" ht="11" customHeight="1">
      <c r="A166" s="13">
        <v>86</v>
      </c>
      <c r="B166" s="14" t="s">
        <v>527</v>
      </c>
      <c r="C166" s="14" t="s">
        <v>528</v>
      </c>
      <c r="D166" s="15" t="s">
        <v>75</v>
      </c>
      <c r="E166" s="16">
        <v>64299</v>
      </c>
      <c r="F166" s="17" t="s">
        <v>13</v>
      </c>
      <c r="G166" s="17"/>
      <c r="H166" s="18" t="s">
        <v>2120</v>
      </c>
    </row>
    <row r="167" spans="1:8" s="1" customFormat="1" ht="11" customHeight="1">
      <c r="A167" s="13">
        <v>87</v>
      </c>
      <c r="B167" s="14" t="s">
        <v>2140</v>
      </c>
      <c r="C167" s="14"/>
      <c r="D167" s="15" t="s">
        <v>75</v>
      </c>
      <c r="E167" s="16">
        <v>52235</v>
      </c>
      <c r="F167" s="17"/>
      <c r="G167" s="17"/>
      <c r="H167" s="18" t="s">
        <v>2141</v>
      </c>
    </row>
    <row r="168" spans="1:8" s="1" customFormat="1" ht="11" customHeight="1">
      <c r="A168" s="13">
        <v>88</v>
      </c>
      <c r="B168" s="14" t="s">
        <v>480</v>
      </c>
      <c r="C168" s="14" t="s">
        <v>481</v>
      </c>
      <c r="D168" s="15" t="s">
        <v>64</v>
      </c>
      <c r="E168" s="16">
        <v>10284</v>
      </c>
      <c r="F168" s="17" t="s">
        <v>29</v>
      </c>
      <c r="G168" s="17">
        <v>9560750830</v>
      </c>
      <c r="H168" s="18" t="s">
        <v>2165</v>
      </c>
    </row>
    <row r="169" spans="1:8" s="1" customFormat="1" ht="11" customHeight="1">
      <c r="A169" s="13">
        <v>89</v>
      </c>
      <c r="B169" s="14" t="s">
        <v>515</v>
      </c>
      <c r="C169" s="14" t="s">
        <v>516</v>
      </c>
      <c r="D169" s="15" t="s">
        <v>80</v>
      </c>
      <c r="E169" s="16">
        <v>11064</v>
      </c>
      <c r="F169" s="17" t="s">
        <v>76</v>
      </c>
      <c r="G169" s="17">
        <v>9310222762</v>
      </c>
      <c r="H169" s="18" t="s">
        <v>1432</v>
      </c>
    </row>
    <row r="170" spans="1:8" s="1" customFormat="1" ht="11" customHeight="1">
      <c r="A170" s="13">
        <v>90</v>
      </c>
      <c r="B170" s="14" t="s">
        <v>2121</v>
      </c>
      <c r="C170" s="14" t="s">
        <v>554</v>
      </c>
      <c r="D170" s="15" t="s">
        <v>555</v>
      </c>
      <c r="E170" s="16">
        <v>5531</v>
      </c>
      <c r="F170" s="17" t="s">
        <v>13</v>
      </c>
      <c r="G170" s="17"/>
      <c r="H170" s="18" t="s">
        <v>2238</v>
      </c>
    </row>
    <row r="171" spans="1:8" s="1" customFormat="1" ht="11" customHeight="1">
      <c r="A171" s="13">
        <v>91</v>
      </c>
      <c r="B171" s="14" t="s">
        <v>570</v>
      </c>
      <c r="C171" s="14" t="s">
        <v>2246</v>
      </c>
      <c r="D171" s="15" t="s">
        <v>567</v>
      </c>
      <c r="E171" s="16">
        <v>42633</v>
      </c>
      <c r="F171" s="17" t="s">
        <v>17</v>
      </c>
      <c r="G171" s="17">
        <v>8802254599</v>
      </c>
      <c r="H171" s="18" t="s">
        <v>1371</v>
      </c>
    </row>
    <row r="172" spans="1:8" s="1" customFormat="1" ht="11" customHeight="1">
      <c r="A172" s="13">
        <v>92</v>
      </c>
      <c r="B172" s="14" t="s">
        <v>613</v>
      </c>
      <c r="C172" s="14" t="s">
        <v>614</v>
      </c>
      <c r="D172" s="15" t="s">
        <v>611</v>
      </c>
      <c r="E172" s="16">
        <v>25634</v>
      </c>
      <c r="F172" s="17" t="s">
        <v>13</v>
      </c>
      <c r="G172" s="17">
        <v>8800369690</v>
      </c>
      <c r="H172" s="18" t="s">
        <v>2394</v>
      </c>
    </row>
    <row r="173" spans="1:8" s="1" customFormat="1" ht="11" customHeight="1">
      <c r="A173" s="13">
        <v>93</v>
      </c>
      <c r="B173" s="14" t="s">
        <v>104</v>
      </c>
      <c r="C173" s="14" t="s">
        <v>105</v>
      </c>
      <c r="D173" s="15" t="s">
        <v>106</v>
      </c>
      <c r="E173" s="16">
        <v>5751</v>
      </c>
      <c r="F173" s="17" t="s">
        <v>107</v>
      </c>
      <c r="G173" s="17">
        <v>9312133801</v>
      </c>
      <c r="H173" s="18" t="s">
        <v>70</v>
      </c>
    </row>
    <row r="174" spans="1:8" s="1" customFormat="1" ht="11" customHeight="1">
      <c r="A174" s="13">
        <v>94</v>
      </c>
      <c r="B174" s="14" t="s">
        <v>2143</v>
      </c>
      <c r="C174" s="14" t="s">
        <v>119</v>
      </c>
      <c r="D174" s="15" t="s">
        <v>120</v>
      </c>
      <c r="E174" s="16">
        <v>1792</v>
      </c>
      <c r="F174" s="17" t="s">
        <v>69</v>
      </c>
      <c r="G174" s="17">
        <v>9810936015</v>
      </c>
      <c r="H174" s="18" t="s">
        <v>70</v>
      </c>
    </row>
    <row r="175" spans="1:8" s="1" customFormat="1" ht="11" customHeight="1">
      <c r="A175" s="13">
        <v>95</v>
      </c>
      <c r="B175" s="14" t="s">
        <v>2144</v>
      </c>
      <c r="C175" s="14" t="s">
        <v>121</v>
      </c>
      <c r="D175" s="15" t="s">
        <v>120</v>
      </c>
      <c r="E175" s="16">
        <v>1792</v>
      </c>
      <c r="F175" s="17" t="s">
        <v>69</v>
      </c>
      <c r="G175" s="17"/>
      <c r="H175" s="18"/>
    </row>
    <row r="176" spans="1:8" s="1" customFormat="1" ht="11" customHeight="1">
      <c r="A176" s="13">
        <v>96</v>
      </c>
      <c r="B176" s="14" t="s">
        <v>2145</v>
      </c>
      <c r="C176" s="14" t="s">
        <v>122</v>
      </c>
      <c r="D176" s="15" t="s">
        <v>120</v>
      </c>
      <c r="E176" s="16">
        <v>1792</v>
      </c>
      <c r="F176" s="17" t="s">
        <v>69</v>
      </c>
      <c r="G176" s="17"/>
      <c r="H176" s="18"/>
    </row>
    <row r="177" spans="1:9" s="1" customFormat="1" ht="11" customHeight="1">
      <c r="A177" s="13">
        <v>97</v>
      </c>
      <c r="B177" s="14" t="s">
        <v>2149</v>
      </c>
      <c r="C177" s="14" t="s">
        <v>126</v>
      </c>
      <c r="D177" s="15" t="s">
        <v>120</v>
      </c>
      <c r="E177" s="16">
        <v>1792</v>
      </c>
      <c r="F177" s="17" t="s">
        <v>69</v>
      </c>
      <c r="G177" s="17"/>
      <c r="H177" s="18"/>
    </row>
    <row r="178" spans="1:9" s="1" customFormat="1" ht="11" customHeight="1">
      <c r="A178" s="13">
        <v>98</v>
      </c>
      <c r="B178" s="14" t="s">
        <v>618</v>
      </c>
      <c r="C178" s="14" t="s">
        <v>619</v>
      </c>
      <c r="D178" s="15" t="s">
        <v>620</v>
      </c>
      <c r="E178" s="16">
        <v>49189</v>
      </c>
      <c r="F178" s="17" t="s">
        <v>29</v>
      </c>
      <c r="G178" s="17">
        <v>9811230158</v>
      </c>
      <c r="H178" s="18" t="s">
        <v>2062</v>
      </c>
    </row>
    <row r="179" spans="1:9" s="1" customFormat="1" ht="11" customHeight="1">
      <c r="A179" s="13">
        <v>99</v>
      </c>
      <c r="B179" s="14" t="s">
        <v>621</v>
      </c>
      <c r="C179" s="14" t="s">
        <v>622</v>
      </c>
      <c r="D179" s="15" t="s">
        <v>620</v>
      </c>
      <c r="E179" s="16">
        <v>19121</v>
      </c>
      <c r="F179" s="17" t="s">
        <v>29</v>
      </c>
      <c r="G179" s="17">
        <v>9873714114</v>
      </c>
      <c r="H179" s="18"/>
    </row>
    <row r="180" spans="1:9" s="1" customFormat="1" ht="11" customHeight="1">
      <c r="A180" s="13">
        <v>100</v>
      </c>
      <c r="B180" s="14" t="s">
        <v>623</v>
      </c>
      <c r="C180" s="14" t="s">
        <v>624</v>
      </c>
      <c r="D180" s="15" t="s">
        <v>620</v>
      </c>
      <c r="E180" s="16">
        <v>19025</v>
      </c>
      <c r="F180" s="17" t="s">
        <v>29</v>
      </c>
      <c r="G180" s="17">
        <v>9650921268</v>
      </c>
      <c r="H180" s="18"/>
    </row>
    <row r="181" spans="1:9" s="1" customFormat="1" ht="11" customHeight="1">
      <c r="A181" s="13">
        <v>101</v>
      </c>
      <c r="B181" s="14" t="s">
        <v>587</v>
      </c>
      <c r="C181" s="14" t="s">
        <v>588</v>
      </c>
      <c r="D181" s="15" t="s">
        <v>109</v>
      </c>
      <c r="E181" s="16">
        <v>20959</v>
      </c>
      <c r="F181" s="17" t="s">
        <v>17</v>
      </c>
      <c r="G181" s="17">
        <v>9278511761</v>
      </c>
      <c r="H181" s="18"/>
    </row>
    <row r="182" spans="1:9" s="1" customFormat="1" ht="11" customHeight="1">
      <c r="A182" s="13">
        <v>102</v>
      </c>
      <c r="B182" s="14" t="s">
        <v>676</v>
      </c>
      <c r="C182" s="14" t="s">
        <v>677</v>
      </c>
      <c r="D182" s="15" t="s">
        <v>678</v>
      </c>
      <c r="E182" s="16">
        <v>38994</v>
      </c>
      <c r="F182" s="17" t="s">
        <v>223</v>
      </c>
      <c r="G182" s="17" t="s">
        <v>679</v>
      </c>
      <c r="H182" s="18" t="s">
        <v>2539</v>
      </c>
    </row>
    <row r="183" spans="1:9" s="1" customFormat="1" ht="11" customHeight="1">
      <c r="A183" s="13">
        <v>103</v>
      </c>
      <c r="B183" s="14" t="s">
        <v>698</v>
      </c>
      <c r="C183" s="14" t="s">
        <v>699</v>
      </c>
      <c r="D183" s="15" t="s">
        <v>227</v>
      </c>
      <c r="E183" s="16">
        <v>44586</v>
      </c>
      <c r="F183" s="17" t="s">
        <v>17</v>
      </c>
      <c r="G183" s="17">
        <v>9215601400</v>
      </c>
      <c r="H183" s="18" t="s">
        <v>1746</v>
      </c>
    </row>
    <row r="184" spans="1:9" s="1" customFormat="1" ht="11" customHeight="1">
      <c r="A184" s="13">
        <v>104</v>
      </c>
      <c r="B184" s="14" t="s">
        <v>681</v>
      </c>
      <c r="C184" s="14" t="s">
        <v>682</v>
      </c>
      <c r="D184" s="15" t="s">
        <v>683</v>
      </c>
      <c r="E184" s="16">
        <v>77627</v>
      </c>
      <c r="F184" s="17" t="s">
        <v>17</v>
      </c>
      <c r="G184" s="17">
        <v>9971262799</v>
      </c>
      <c r="H184" s="18" t="s">
        <v>2471</v>
      </c>
    </row>
    <row r="185" spans="1:9" s="1" customFormat="1" ht="11" customHeight="1">
      <c r="A185" s="13">
        <v>105</v>
      </c>
      <c r="B185" s="14" t="s">
        <v>666</v>
      </c>
      <c r="C185" s="14" t="s">
        <v>667</v>
      </c>
      <c r="D185" s="15" t="s">
        <v>206</v>
      </c>
      <c r="E185" s="16">
        <v>28790</v>
      </c>
      <c r="F185" s="17" t="s">
        <v>29</v>
      </c>
      <c r="G185" s="17">
        <v>9818030649</v>
      </c>
      <c r="H185" s="18" t="s">
        <v>2043</v>
      </c>
    </row>
    <row r="186" spans="1:9" s="1" customFormat="1" ht="11" customHeight="1">
      <c r="A186" s="13">
        <v>106</v>
      </c>
      <c r="B186" s="14" t="s">
        <v>691</v>
      </c>
      <c r="C186" s="14" t="s">
        <v>692</v>
      </c>
      <c r="D186" s="15" t="s">
        <v>693</v>
      </c>
      <c r="E186" s="16">
        <v>25113</v>
      </c>
      <c r="F186" s="17" t="s">
        <v>13</v>
      </c>
      <c r="G186" s="17">
        <v>9460112499</v>
      </c>
      <c r="H186" s="18"/>
    </row>
    <row r="187" spans="1:9" s="1" customFormat="1" ht="11" customHeight="1">
      <c r="A187" s="13">
        <v>107</v>
      </c>
      <c r="B187" s="14" t="s">
        <v>694</v>
      </c>
      <c r="C187" s="14" t="s">
        <v>695</v>
      </c>
      <c r="D187" s="15" t="s">
        <v>696</v>
      </c>
      <c r="E187" s="16">
        <v>10809</v>
      </c>
      <c r="F187" s="17" t="s">
        <v>17</v>
      </c>
      <c r="G187" s="17">
        <v>951161499</v>
      </c>
      <c r="H187" s="18"/>
    </row>
    <row r="188" spans="1:9" s="1" customFormat="1" ht="11" customHeight="1">
      <c r="A188" s="13">
        <v>108</v>
      </c>
      <c r="B188" s="14" t="s">
        <v>726</v>
      </c>
      <c r="C188" s="14" t="s">
        <v>727</v>
      </c>
      <c r="D188" s="15" t="s">
        <v>248</v>
      </c>
      <c r="E188" s="16">
        <v>20852</v>
      </c>
      <c r="F188" s="17" t="s">
        <v>29</v>
      </c>
      <c r="G188" s="17">
        <v>9911226991</v>
      </c>
      <c r="H188" s="18" t="s">
        <v>2763</v>
      </c>
      <c r="I188" s="1" t="s">
        <v>357</v>
      </c>
    </row>
    <row r="189" spans="1:9" s="1" customFormat="1" ht="11" customHeight="1">
      <c r="A189" s="13">
        <v>109</v>
      </c>
      <c r="B189" s="14" t="s">
        <v>2707</v>
      </c>
      <c r="C189" s="14" t="s">
        <v>2706</v>
      </c>
      <c r="D189" s="15" t="s">
        <v>281</v>
      </c>
      <c r="E189" s="16">
        <v>3545</v>
      </c>
      <c r="F189" s="17" t="s">
        <v>2837</v>
      </c>
      <c r="G189" s="17"/>
      <c r="H189" s="18"/>
    </row>
    <row r="190" spans="1:9" s="1" customFormat="1" ht="11" customHeight="1">
      <c r="A190" s="13">
        <v>110</v>
      </c>
      <c r="B190" s="14" t="s">
        <v>2707</v>
      </c>
      <c r="C190" s="14" t="s">
        <v>2706</v>
      </c>
      <c r="D190" s="15" t="s">
        <v>289</v>
      </c>
      <c r="E190" s="16">
        <v>4444</v>
      </c>
      <c r="F190" s="17" t="s">
        <v>2837</v>
      </c>
      <c r="G190" s="17"/>
      <c r="H190" s="18" t="s">
        <v>1910</v>
      </c>
    </row>
    <row r="191" spans="1:9" s="1" customFormat="1" ht="11" customHeight="1">
      <c r="A191" s="13">
        <v>111</v>
      </c>
      <c r="B191" s="14" t="s">
        <v>720</v>
      </c>
      <c r="C191" s="14" t="s">
        <v>721</v>
      </c>
      <c r="D191" s="15" t="s">
        <v>722</v>
      </c>
      <c r="E191" s="16">
        <v>15957</v>
      </c>
      <c r="F191" s="17" t="s">
        <v>17</v>
      </c>
      <c r="G191" s="17">
        <v>8130127437</v>
      </c>
      <c r="H191" s="18"/>
    </row>
    <row r="192" spans="1:9" s="1" customFormat="1" ht="11" customHeight="1">
      <c r="A192" s="13">
        <v>112</v>
      </c>
      <c r="B192" s="14" t="s">
        <v>724</v>
      </c>
      <c r="C192" s="14" t="s">
        <v>725</v>
      </c>
      <c r="D192" s="15" t="s">
        <v>722</v>
      </c>
      <c r="E192" s="16">
        <v>55867</v>
      </c>
      <c r="F192" s="17" t="s">
        <v>17</v>
      </c>
      <c r="G192" s="17">
        <v>9729816979</v>
      </c>
      <c r="H192" s="18"/>
    </row>
    <row r="193" spans="1:9" s="1" customFormat="1" ht="11" customHeight="1">
      <c r="A193" s="13">
        <v>113</v>
      </c>
      <c r="B193" s="14" t="s">
        <v>728</v>
      </c>
      <c r="C193" s="14" t="s">
        <v>729</v>
      </c>
      <c r="D193" s="15" t="s">
        <v>730</v>
      </c>
      <c r="E193" s="16">
        <v>18189</v>
      </c>
      <c r="F193" s="17" t="s">
        <v>17</v>
      </c>
      <c r="G193" s="17">
        <v>9729816979</v>
      </c>
      <c r="H193" s="18"/>
    </row>
    <row r="194" spans="1:9" s="1" customFormat="1" ht="11" customHeight="1">
      <c r="A194" s="13">
        <v>114</v>
      </c>
      <c r="B194" s="14" t="s">
        <v>775</v>
      </c>
      <c r="C194" s="14" t="s">
        <v>776</v>
      </c>
      <c r="D194" s="15" t="s">
        <v>774</v>
      </c>
      <c r="E194" s="16">
        <v>15843</v>
      </c>
      <c r="F194" s="17" t="s">
        <v>17</v>
      </c>
      <c r="G194" s="17">
        <v>5</v>
      </c>
      <c r="H194" s="18" t="s">
        <v>3008</v>
      </c>
    </row>
    <row r="195" spans="1:9" s="1" customFormat="1" ht="11" customHeight="1">
      <c r="A195" s="13">
        <v>115</v>
      </c>
      <c r="B195" s="14" t="s">
        <v>316</v>
      </c>
      <c r="C195" s="14" t="s">
        <v>317</v>
      </c>
      <c r="D195" s="15" t="s">
        <v>318</v>
      </c>
      <c r="E195" s="16">
        <v>42067</v>
      </c>
      <c r="F195" s="17" t="s">
        <v>29</v>
      </c>
      <c r="G195" s="17">
        <v>9811773717</v>
      </c>
      <c r="H195" s="18" t="s">
        <v>3050</v>
      </c>
    </row>
    <row r="196" spans="1:9" s="1" customFormat="1" ht="11" customHeight="1">
      <c r="A196" s="13">
        <v>15</v>
      </c>
      <c r="B196" s="14" t="s">
        <v>811</v>
      </c>
      <c r="C196" s="14" t="s">
        <v>3091</v>
      </c>
      <c r="D196" s="15" t="s">
        <v>324</v>
      </c>
      <c r="E196" s="16">
        <v>18577</v>
      </c>
      <c r="F196" s="17" t="s">
        <v>17</v>
      </c>
      <c r="G196" s="17" t="s">
        <v>812</v>
      </c>
      <c r="H196" s="18" t="s">
        <v>1824</v>
      </c>
    </row>
    <row r="197" spans="1:9" s="1" customFormat="1" ht="11" customHeight="1">
      <c r="A197" s="13">
        <v>24</v>
      </c>
      <c r="B197" s="14" t="s">
        <v>840</v>
      </c>
      <c r="C197" s="14" t="s">
        <v>841</v>
      </c>
      <c r="D197" s="15" t="s">
        <v>842</v>
      </c>
      <c r="E197" s="16">
        <v>7511</v>
      </c>
      <c r="F197" s="17" t="s">
        <v>377</v>
      </c>
      <c r="G197" s="17" t="s">
        <v>843</v>
      </c>
      <c r="H197" s="18" t="s">
        <v>1481</v>
      </c>
    </row>
    <row r="198" spans="1:9" s="1" customFormat="1" ht="11" customHeight="1">
      <c r="A198" s="13">
        <v>11</v>
      </c>
      <c r="B198" s="14" t="s">
        <v>157</v>
      </c>
      <c r="C198" s="14" t="s">
        <v>2443</v>
      </c>
      <c r="D198" s="15" t="s">
        <v>2444</v>
      </c>
      <c r="E198" s="16">
        <v>923</v>
      </c>
      <c r="F198" s="17" t="s">
        <v>2445</v>
      </c>
      <c r="G198" s="17">
        <v>7028012721</v>
      </c>
      <c r="H198" s="18"/>
    </row>
    <row r="199" spans="1:9" s="1" customFormat="1" ht="11" customHeight="1">
      <c r="A199" s="13">
        <v>16</v>
      </c>
      <c r="B199" s="14" t="s">
        <v>386</v>
      </c>
      <c r="C199" s="14" t="s">
        <v>387</v>
      </c>
      <c r="D199" s="15" t="s">
        <v>388</v>
      </c>
      <c r="E199" s="16">
        <v>36349</v>
      </c>
      <c r="F199" s="17" t="s">
        <v>17</v>
      </c>
      <c r="G199" s="17">
        <v>8447152596</v>
      </c>
      <c r="H199" s="18" t="s">
        <v>389</v>
      </c>
      <c r="I199" s="1" t="s">
        <v>390</v>
      </c>
    </row>
    <row r="200" spans="1:9" s="1" customFormat="1" ht="11" customHeight="1">
      <c r="A200" s="13">
        <v>25</v>
      </c>
      <c r="B200" s="14" t="s">
        <v>3493</v>
      </c>
      <c r="C200" s="14" t="s">
        <v>3423</v>
      </c>
      <c r="D200" s="15" t="s">
        <v>3422</v>
      </c>
      <c r="E200" s="16">
        <v>7206</v>
      </c>
      <c r="F200" s="17"/>
      <c r="G200" s="17"/>
      <c r="H200" s="18" t="s">
        <v>3088</v>
      </c>
    </row>
    <row r="201" spans="1:9" s="1" customFormat="1" ht="11" customHeight="1">
      <c r="A201" s="13">
        <v>9</v>
      </c>
      <c r="B201" s="14" t="s">
        <v>2707</v>
      </c>
      <c r="C201" s="14" t="s">
        <v>3504</v>
      </c>
      <c r="D201" s="15" t="s">
        <v>935</v>
      </c>
      <c r="E201" s="16">
        <v>5380</v>
      </c>
      <c r="F201" s="17" t="s">
        <v>3018</v>
      </c>
      <c r="G201" s="17"/>
      <c r="H201" s="18" t="s">
        <v>3505</v>
      </c>
    </row>
    <row r="202" spans="1:9" s="1" customFormat="1" ht="11" customHeight="1">
      <c r="A202" s="13"/>
      <c r="B202" s="14" t="s">
        <v>503</v>
      </c>
      <c r="C202" s="14" t="s">
        <v>3841</v>
      </c>
      <c r="D202" s="15" t="s">
        <v>504</v>
      </c>
      <c r="E202" s="16">
        <v>7511</v>
      </c>
      <c r="F202" s="17" t="s">
        <v>377</v>
      </c>
      <c r="G202" s="17"/>
      <c r="H202" s="18" t="s">
        <v>3843</v>
      </c>
    </row>
    <row r="203" spans="1:9" s="1" customFormat="1" ht="11" customHeight="1">
      <c r="A203" s="930"/>
      <c r="B203" s="931"/>
      <c r="C203" s="932"/>
      <c r="D203" s="933"/>
      <c r="E203" s="934"/>
      <c r="F203" s="935"/>
      <c r="G203" s="935"/>
      <c r="H203" s="62"/>
      <c r="I203" s="62"/>
    </row>
    <row r="204" spans="1:9" s="1" customFormat="1" ht="11" customHeight="1">
      <c r="A204" s="930"/>
      <c r="B204" s="931"/>
      <c r="C204" s="932"/>
      <c r="D204" s="933"/>
      <c r="E204" s="934"/>
      <c r="F204" s="935"/>
      <c r="G204" s="935"/>
      <c r="H204" s="62"/>
      <c r="I204" s="62"/>
    </row>
    <row r="205" spans="1:9" s="1" customFormat="1" ht="11" customHeight="1">
      <c r="A205" s="930"/>
      <c r="B205" s="931"/>
      <c r="C205" s="932"/>
      <c r="D205" s="933"/>
      <c r="E205" s="934"/>
      <c r="F205" s="935"/>
      <c r="G205" s="935"/>
      <c r="H205" s="62"/>
      <c r="I205" s="62"/>
    </row>
    <row r="206" spans="1:9" s="1" customFormat="1" ht="11" customHeight="1" thickBot="1">
      <c r="A206" s="930"/>
      <c r="B206" s="931"/>
      <c r="C206" s="932"/>
      <c r="D206" s="933"/>
      <c r="E206" s="934"/>
      <c r="F206" s="935"/>
      <c r="G206" s="935"/>
      <c r="H206" s="62"/>
      <c r="I206" s="62"/>
    </row>
    <row r="207" spans="1:9" ht="11" customHeight="1" thickBot="1">
      <c r="A207" s="1212" t="s">
        <v>1765</v>
      </c>
      <c r="B207" s="1213"/>
      <c r="C207" s="1213"/>
      <c r="D207" s="1213"/>
      <c r="E207" s="1213"/>
      <c r="F207" s="1213"/>
      <c r="G207" s="1213"/>
      <c r="H207" s="1214"/>
    </row>
    <row r="208" spans="1:9" ht="11" customHeight="1">
      <c r="A208" s="30">
        <v>1</v>
      </c>
      <c r="B208" s="38" t="s">
        <v>1766</v>
      </c>
      <c r="C208" s="38" t="s">
        <v>1767</v>
      </c>
      <c r="D208" s="33" t="s">
        <v>1768</v>
      </c>
      <c r="E208" s="32">
        <v>51499</v>
      </c>
      <c r="F208" s="33" t="s">
        <v>13</v>
      </c>
      <c r="G208" s="39">
        <v>9810069180</v>
      </c>
      <c r="H208" s="1221" t="s">
        <v>1769</v>
      </c>
    </row>
    <row r="209" spans="1:8" ht="11" customHeight="1">
      <c r="A209" s="13">
        <v>2</v>
      </c>
      <c r="B209" s="20" t="s">
        <v>1770</v>
      </c>
      <c r="C209" s="20" t="s">
        <v>1771</v>
      </c>
      <c r="D209" s="35" t="s">
        <v>1772</v>
      </c>
      <c r="E209" s="16">
        <v>4663</v>
      </c>
      <c r="F209" s="17" t="s">
        <v>865</v>
      </c>
      <c r="G209" s="17">
        <v>9625653331</v>
      </c>
      <c r="H209" s="1222"/>
    </row>
    <row r="210" spans="1:8" ht="11" customHeight="1">
      <c r="A210" s="13">
        <v>3</v>
      </c>
      <c r="B210" s="20" t="s">
        <v>1770</v>
      </c>
      <c r="C210" s="14" t="s">
        <v>1773</v>
      </c>
      <c r="D210" s="35" t="s">
        <v>1774</v>
      </c>
      <c r="E210" s="16">
        <v>32687</v>
      </c>
      <c r="F210" s="17" t="s">
        <v>13</v>
      </c>
      <c r="G210" s="17">
        <v>9625653331</v>
      </c>
      <c r="H210" s="1223"/>
    </row>
    <row r="211" spans="1:8" ht="11" customHeight="1">
      <c r="A211" s="13">
        <v>4</v>
      </c>
      <c r="B211" s="20" t="s">
        <v>1775</v>
      </c>
      <c r="C211" s="14" t="s">
        <v>1776</v>
      </c>
      <c r="D211" s="35" t="s">
        <v>1777</v>
      </c>
      <c r="E211" s="16">
        <v>3258</v>
      </c>
      <c r="F211" s="17" t="s">
        <v>865</v>
      </c>
      <c r="G211" s="17">
        <v>9871073491</v>
      </c>
      <c r="H211" s="40" t="s">
        <v>407</v>
      </c>
    </row>
    <row r="212" spans="1:8" ht="11" customHeight="1">
      <c r="A212" s="13">
        <v>5</v>
      </c>
      <c r="B212" s="20" t="s">
        <v>1775</v>
      </c>
      <c r="C212" s="14" t="s">
        <v>1778</v>
      </c>
      <c r="D212" s="35" t="s">
        <v>1779</v>
      </c>
      <c r="E212" s="16">
        <v>30511</v>
      </c>
      <c r="F212" s="17" t="s">
        <v>13</v>
      </c>
      <c r="G212" s="17"/>
      <c r="H212" s="40"/>
    </row>
    <row r="213" spans="1:8" ht="11" customHeight="1">
      <c r="A213" s="13">
        <v>6</v>
      </c>
      <c r="B213" s="20" t="s">
        <v>1780</v>
      </c>
      <c r="C213" s="14" t="s">
        <v>1781</v>
      </c>
      <c r="D213" s="35" t="s">
        <v>1782</v>
      </c>
      <c r="E213" s="16">
        <v>2634</v>
      </c>
      <c r="F213" s="17" t="s">
        <v>865</v>
      </c>
      <c r="G213" s="17">
        <v>9811874535</v>
      </c>
      <c r="H213" s="40" t="s">
        <v>407</v>
      </c>
    </row>
    <row r="214" spans="1:8" ht="11" customHeight="1">
      <c r="A214" s="13">
        <v>7</v>
      </c>
      <c r="B214" s="20" t="s">
        <v>1780</v>
      </c>
      <c r="C214" s="14" t="s">
        <v>1783</v>
      </c>
      <c r="D214" s="35" t="s">
        <v>1782</v>
      </c>
      <c r="E214" s="16">
        <v>18886</v>
      </c>
      <c r="F214" s="17" t="s">
        <v>13</v>
      </c>
      <c r="G214" s="17"/>
      <c r="H214" s="40"/>
    </row>
    <row r="215" spans="1:8" ht="11" customHeight="1">
      <c r="A215" s="13">
        <v>8</v>
      </c>
      <c r="B215" s="20" t="s">
        <v>1784</v>
      </c>
      <c r="C215" s="14" t="s">
        <v>1785</v>
      </c>
      <c r="D215" s="35" t="s">
        <v>1786</v>
      </c>
      <c r="E215" s="16">
        <v>53212</v>
      </c>
      <c r="F215" s="17" t="s">
        <v>13</v>
      </c>
      <c r="G215" s="17">
        <v>9899840423</v>
      </c>
      <c r="H215" s="25" t="s">
        <v>1428</v>
      </c>
    </row>
    <row r="216" spans="1:8" ht="11" customHeight="1">
      <c r="A216" s="13">
        <v>9</v>
      </c>
      <c r="B216" s="20" t="s">
        <v>971</v>
      </c>
      <c r="C216" s="14" t="s">
        <v>1787</v>
      </c>
      <c r="D216" s="35" t="s">
        <v>1788</v>
      </c>
      <c r="E216" s="16">
        <v>34995</v>
      </c>
      <c r="F216" s="17" t="s">
        <v>223</v>
      </c>
      <c r="G216" s="17"/>
      <c r="H216" s="25"/>
    </row>
    <row r="217" spans="1:8" ht="11" customHeight="1">
      <c r="A217" s="13">
        <v>10</v>
      </c>
      <c r="B217" s="20" t="s">
        <v>1789</v>
      </c>
      <c r="C217" s="14" t="s">
        <v>1790</v>
      </c>
      <c r="D217" s="35" t="s">
        <v>1791</v>
      </c>
      <c r="E217" s="16">
        <v>44377</v>
      </c>
      <c r="F217" s="17" t="s">
        <v>13</v>
      </c>
      <c r="G217" s="17">
        <v>8587823404</v>
      </c>
      <c r="H217" s="25" t="s">
        <v>381</v>
      </c>
    </row>
    <row r="218" spans="1:8" ht="11" customHeight="1">
      <c r="A218" s="13">
        <v>11</v>
      </c>
      <c r="B218" s="20" t="s">
        <v>1792</v>
      </c>
      <c r="C218" s="14" t="s">
        <v>1793</v>
      </c>
      <c r="D218" s="35" t="s">
        <v>1794</v>
      </c>
      <c r="E218" s="16">
        <v>37181</v>
      </c>
      <c r="F218" s="17" t="s">
        <v>13</v>
      </c>
      <c r="G218" s="17">
        <v>9811422018</v>
      </c>
      <c r="H218" s="25" t="s">
        <v>164</v>
      </c>
    </row>
    <row r="219" spans="1:8" ht="11" customHeight="1">
      <c r="A219" s="13">
        <v>12</v>
      </c>
      <c r="B219" s="20" t="s">
        <v>1795</v>
      </c>
      <c r="C219" s="14" t="s">
        <v>1796</v>
      </c>
      <c r="D219" s="35" t="s">
        <v>1797</v>
      </c>
      <c r="E219" s="16">
        <v>28791</v>
      </c>
      <c r="F219" s="17" t="s">
        <v>13</v>
      </c>
      <c r="G219" s="17">
        <v>9958626784</v>
      </c>
      <c r="H219" s="25" t="s">
        <v>1798</v>
      </c>
    </row>
    <row r="220" spans="1:8" ht="11" customHeight="1">
      <c r="A220" s="13">
        <v>13</v>
      </c>
      <c r="B220" s="20" t="s">
        <v>1799</v>
      </c>
      <c r="C220" s="14" t="s">
        <v>1800</v>
      </c>
      <c r="D220" s="35" t="s">
        <v>1801</v>
      </c>
      <c r="E220" s="16">
        <v>37181</v>
      </c>
      <c r="F220" s="17" t="s">
        <v>13</v>
      </c>
      <c r="G220" s="17">
        <v>9553</v>
      </c>
      <c r="H220" s="25" t="s">
        <v>903</v>
      </c>
    </row>
    <row r="221" spans="1:8" ht="11" customHeight="1">
      <c r="A221" s="13">
        <v>14</v>
      </c>
      <c r="B221" s="20" t="s">
        <v>1802</v>
      </c>
      <c r="C221" s="14" t="s">
        <v>1803</v>
      </c>
      <c r="D221" s="35" t="s">
        <v>1595</v>
      </c>
      <c r="E221" s="16">
        <v>4148</v>
      </c>
      <c r="F221" s="17" t="s">
        <v>1006</v>
      </c>
      <c r="G221" s="17">
        <v>9810909069</v>
      </c>
      <c r="H221" s="25" t="s">
        <v>1002</v>
      </c>
    </row>
    <row r="222" spans="1:8" ht="11" customHeight="1">
      <c r="A222" s="13">
        <v>15</v>
      </c>
      <c r="B222" s="20" t="s">
        <v>1802</v>
      </c>
      <c r="C222" s="14" t="s">
        <v>1804</v>
      </c>
      <c r="D222" s="35" t="s">
        <v>1805</v>
      </c>
      <c r="E222" s="16">
        <v>47069</v>
      </c>
      <c r="F222" s="17" t="s">
        <v>13</v>
      </c>
      <c r="G222" s="17"/>
      <c r="H222" s="25"/>
    </row>
    <row r="223" spans="1:8" ht="11" customHeight="1">
      <c r="A223" s="13">
        <v>16</v>
      </c>
      <c r="B223" s="20" t="s">
        <v>1806</v>
      </c>
      <c r="C223" s="14" t="s">
        <v>1807</v>
      </c>
      <c r="D223" s="35" t="s">
        <v>1808</v>
      </c>
      <c r="E223" s="16">
        <v>49138</v>
      </c>
      <c r="F223" s="17" t="s">
        <v>13</v>
      </c>
      <c r="G223" s="17">
        <v>9910153558</v>
      </c>
      <c r="H223" s="25" t="s">
        <v>1809</v>
      </c>
    </row>
    <row r="224" spans="1:8" ht="11" customHeight="1">
      <c r="A224" s="13">
        <v>17</v>
      </c>
      <c r="B224" s="20" t="s">
        <v>1810</v>
      </c>
      <c r="C224" s="14"/>
      <c r="D224" s="35" t="s">
        <v>1811</v>
      </c>
      <c r="E224" s="16"/>
      <c r="F224" s="17"/>
      <c r="G224" s="17">
        <v>9818344885</v>
      </c>
      <c r="H224" s="25" t="s">
        <v>1371</v>
      </c>
    </row>
    <row r="225" spans="1:8" ht="11" customHeight="1">
      <c r="A225" s="13">
        <v>18</v>
      </c>
      <c r="B225" s="20" t="s">
        <v>1812</v>
      </c>
      <c r="C225" s="14" t="s">
        <v>1813</v>
      </c>
      <c r="D225" s="35" t="s">
        <v>1814</v>
      </c>
      <c r="E225" s="16">
        <v>6977</v>
      </c>
      <c r="F225" s="17" t="s">
        <v>865</v>
      </c>
      <c r="G225" s="17">
        <v>8800090424</v>
      </c>
      <c r="H225" s="25" t="s">
        <v>1371</v>
      </c>
    </row>
    <row r="226" spans="1:8" ht="11" customHeight="1">
      <c r="A226" s="13">
        <v>19</v>
      </c>
      <c r="B226" s="20" t="s">
        <v>1815</v>
      </c>
      <c r="C226" s="14" t="s">
        <v>1816</v>
      </c>
      <c r="D226" s="35" t="s">
        <v>1654</v>
      </c>
      <c r="E226" s="16">
        <v>4838</v>
      </c>
      <c r="F226" s="17" t="s">
        <v>865</v>
      </c>
      <c r="G226" s="17">
        <v>9810221035</v>
      </c>
      <c r="H226" s="25" t="s">
        <v>1817</v>
      </c>
    </row>
    <row r="227" spans="1:8" ht="11" customHeight="1">
      <c r="A227" s="13">
        <v>20</v>
      </c>
      <c r="B227" s="20" t="s">
        <v>1818</v>
      </c>
      <c r="C227" s="14" t="s">
        <v>1819</v>
      </c>
      <c r="D227" s="35" t="s">
        <v>1646</v>
      </c>
      <c r="E227" s="16">
        <v>21170</v>
      </c>
      <c r="F227" s="17" t="s">
        <v>69</v>
      </c>
      <c r="G227" s="17"/>
      <c r="H227" s="25" t="s">
        <v>956</v>
      </c>
    </row>
    <row r="228" spans="1:8" ht="11" customHeight="1">
      <c r="A228" s="13">
        <v>21</v>
      </c>
      <c r="B228" s="20" t="s">
        <v>1820</v>
      </c>
      <c r="C228" s="14" t="s">
        <v>1821</v>
      </c>
      <c r="D228" s="35" t="s">
        <v>1822</v>
      </c>
      <c r="E228" s="16">
        <v>36993</v>
      </c>
      <c r="F228" s="17" t="s">
        <v>1823</v>
      </c>
      <c r="G228" s="17">
        <v>9810238957</v>
      </c>
      <c r="H228" s="25" t="s">
        <v>1824</v>
      </c>
    </row>
    <row r="229" spans="1:8" ht="11" customHeight="1">
      <c r="A229" s="13">
        <v>22</v>
      </c>
      <c r="B229" s="20" t="s">
        <v>1392</v>
      </c>
      <c r="C229" s="14" t="s">
        <v>1825</v>
      </c>
      <c r="D229" s="35" t="s">
        <v>1826</v>
      </c>
      <c r="E229" s="16">
        <v>57936</v>
      </c>
      <c r="F229" s="17" t="s">
        <v>13</v>
      </c>
      <c r="G229" s="17" t="s">
        <v>1827</v>
      </c>
      <c r="H229" s="25" t="s">
        <v>1828</v>
      </c>
    </row>
    <row r="230" spans="1:8" ht="11" customHeight="1">
      <c r="A230" s="13">
        <v>23</v>
      </c>
      <c r="B230" s="20" t="s">
        <v>1829</v>
      </c>
      <c r="C230" s="14" t="s">
        <v>1830</v>
      </c>
      <c r="D230" s="35" t="s">
        <v>1831</v>
      </c>
      <c r="E230" s="16">
        <v>20399</v>
      </c>
      <c r="F230" s="17" t="s">
        <v>13</v>
      </c>
      <c r="G230" s="17">
        <v>9313410878</v>
      </c>
      <c r="H230" s="25" t="s">
        <v>1832</v>
      </c>
    </row>
    <row r="231" spans="1:8" ht="11" customHeight="1">
      <c r="A231" s="13">
        <v>24</v>
      </c>
      <c r="B231" s="20" t="s">
        <v>1833</v>
      </c>
      <c r="C231" s="14" t="s">
        <v>1834</v>
      </c>
      <c r="D231" s="35" t="s">
        <v>1299</v>
      </c>
      <c r="E231" s="16">
        <v>43749</v>
      </c>
      <c r="F231" s="17" t="s">
        <v>17</v>
      </c>
      <c r="G231" s="17">
        <v>9015927576</v>
      </c>
      <c r="H231" s="25" t="s">
        <v>1835</v>
      </c>
    </row>
    <row r="232" spans="1:8" ht="11" customHeight="1">
      <c r="A232" s="13">
        <v>25</v>
      </c>
      <c r="B232" s="20" t="s">
        <v>328</v>
      </c>
      <c r="C232" s="14" t="s">
        <v>1836</v>
      </c>
      <c r="D232" s="35" t="s">
        <v>1837</v>
      </c>
      <c r="E232" s="16">
        <v>2651</v>
      </c>
      <c r="F232" s="17" t="s">
        <v>223</v>
      </c>
      <c r="G232" s="17">
        <v>9707</v>
      </c>
      <c r="H232" s="25" t="s">
        <v>1838</v>
      </c>
    </row>
    <row r="233" spans="1:8" ht="11" customHeight="1">
      <c r="A233" s="13">
        <v>26</v>
      </c>
      <c r="B233" s="20" t="s">
        <v>328</v>
      </c>
      <c r="C233" s="14" t="s">
        <v>1839</v>
      </c>
      <c r="D233" s="35" t="s">
        <v>1840</v>
      </c>
      <c r="E233" s="16">
        <v>36392</v>
      </c>
      <c r="F233" s="17" t="s">
        <v>13</v>
      </c>
      <c r="G233" s="17"/>
      <c r="H233" s="25" t="s">
        <v>1838</v>
      </c>
    </row>
    <row r="234" spans="1:8" ht="11" customHeight="1">
      <c r="A234" s="13">
        <v>27</v>
      </c>
      <c r="B234" s="20" t="s">
        <v>1841</v>
      </c>
      <c r="C234" s="14" t="s">
        <v>1842</v>
      </c>
      <c r="D234" s="35" t="s">
        <v>1843</v>
      </c>
      <c r="E234" s="16">
        <v>13511</v>
      </c>
      <c r="F234" s="17" t="s">
        <v>13</v>
      </c>
      <c r="G234" s="17">
        <v>2851</v>
      </c>
      <c r="H234" s="25" t="s">
        <v>1838</v>
      </c>
    </row>
    <row r="235" spans="1:8" ht="11" customHeight="1">
      <c r="A235" s="13">
        <v>28</v>
      </c>
      <c r="B235" s="20" t="s">
        <v>874</v>
      </c>
      <c r="C235" s="14" t="s">
        <v>1844</v>
      </c>
      <c r="D235" s="35" t="s">
        <v>1845</v>
      </c>
      <c r="E235" s="16">
        <v>3236</v>
      </c>
      <c r="F235" s="17" t="s">
        <v>21</v>
      </c>
      <c r="G235" s="17">
        <v>9711432993</v>
      </c>
      <c r="H235" s="25"/>
    </row>
    <row r="236" spans="1:8" ht="11" customHeight="1">
      <c r="A236" s="13">
        <v>29</v>
      </c>
      <c r="B236" s="20" t="s">
        <v>922</v>
      </c>
      <c r="C236" s="14" t="s">
        <v>1846</v>
      </c>
      <c r="D236" s="35" t="s">
        <v>1847</v>
      </c>
      <c r="E236" s="16">
        <v>962</v>
      </c>
      <c r="F236" s="17" t="s">
        <v>17</v>
      </c>
      <c r="G236" s="17">
        <v>1574</v>
      </c>
      <c r="H236" s="25" t="s">
        <v>903</v>
      </c>
    </row>
    <row r="237" spans="1:8" ht="11" customHeight="1">
      <c r="A237" s="13">
        <v>30</v>
      </c>
      <c r="B237" s="20" t="s">
        <v>562</v>
      </c>
      <c r="C237" s="14" t="s">
        <v>563</v>
      </c>
      <c r="D237" s="35" t="s">
        <v>564</v>
      </c>
      <c r="E237" s="16">
        <v>37008</v>
      </c>
      <c r="F237" s="17" t="s">
        <v>17</v>
      </c>
      <c r="G237" s="17" t="s">
        <v>565</v>
      </c>
      <c r="H237" s="25" t="s">
        <v>2164</v>
      </c>
    </row>
    <row r="238" spans="1:8" ht="11" customHeight="1">
      <c r="A238" s="13">
        <v>31</v>
      </c>
      <c r="B238" s="20" t="s">
        <v>2086</v>
      </c>
      <c r="C238" s="14" t="s">
        <v>954</v>
      </c>
      <c r="D238" s="35" t="s">
        <v>955</v>
      </c>
      <c r="E238" s="16">
        <v>3787</v>
      </c>
      <c r="F238" s="17" t="s">
        <v>867</v>
      </c>
      <c r="G238" s="17">
        <v>6743</v>
      </c>
      <c r="H238" s="25" t="s">
        <v>956</v>
      </c>
    </row>
    <row r="239" spans="1:8" ht="11" customHeight="1">
      <c r="A239" s="13">
        <v>32</v>
      </c>
      <c r="B239" s="20" t="s">
        <v>953</v>
      </c>
      <c r="C239" s="14" t="s">
        <v>957</v>
      </c>
      <c r="D239" s="35" t="s">
        <v>494</v>
      </c>
      <c r="E239" s="16">
        <v>46379</v>
      </c>
      <c r="F239" s="17" t="s">
        <v>13</v>
      </c>
      <c r="G239" s="17"/>
      <c r="H239" s="25"/>
    </row>
    <row r="240" spans="1:8" ht="11" customHeight="1">
      <c r="A240" s="13">
        <v>33</v>
      </c>
      <c r="B240" s="20" t="s">
        <v>2742</v>
      </c>
      <c r="C240" s="14" t="s">
        <v>1037</v>
      </c>
      <c r="D240" s="35" t="s">
        <v>770</v>
      </c>
      <c r="E240" s="16">
        <v>139923</v>
      </c>
      <c r="F240" s="17" t="s">
        <v>69</v>
      </c>
      <c r="G240" s="17">
        <v>8826120777</v>
      </c>
      <c r="H240" s="25" t="s">
        <v>1437</v>
      </c>
    </row>
    <row r="241" spans="1:10" ht="11" customHeight="1">
      <c r="A241" s="13">
        <v>34</v>
      </c>
      <c r="B241" s="20" t="s">
        <v>1026</v>
      </c>
      <c r="C241" s="14" t="s">
        <v>1027</v>
      </c>
      <c r="D241" s="35" t="s">
        <v>281</v>
      </c>
      <c r="E241" s="16">
        <v>1890</v>
      </c>
      <c r="F241" s="17" t="s">
        <v>1028</v>
      </c>
      <c r="G241" s="17"/>
      <c r="H241" s="25" t="s">
        <v>365</v>
      </c>
    </row>
    <row r="242" spans="1:10" ht="11" customHeight="1">
      <c r="A242" s="13">
        <v>35</v>
      </c>
      <c r="B242" s="20" t="s">
        <v>1038</v>
      </c>
      <c r="C242" s="14" t="s">
        <v>1039</v>
      </c>
      <c r="D242" s="35" t="s">
        <v>1040</v>
      </c>
      <c r="E242" s="16">
        <v>45982</v>
      </c>
      <c r="F242" s="17" t="s">
        <v>69</v>
      </c>
      <c r="G242" s="17">
        <v>9810125452</v>
      </c>
      <c r="H242" s="25" t="s">
        <v>1437</v>
      </c>
    </row>
    <row r="243" spans="1:10" ht="11" customHeight="1">
      <c r="A243" s="13">
        <v>36</v>
      </c>
      <c r="B243" s="20" t="s">
        <v>1043</v>
      </c>
      <c r="C243" s="14" t="s">
        <v>1044</v>
      </c>
      <c r="D243" s="35" t="s">
        <v>774</v>
      </c>
      <c r="E243" s="16">
        <v>35145</v>
      </c>
      <c r="F243" s="17" t="s">
        <v>13</v>
      </c>
      <c r="G243" s="17">
        <v>9811619322</v>
      </c>
      <c r="H243" s="25" t="s">
        <v>2970</v>
      </c>
    </row>
    <row r="244" spans="1:10" ht="11" customHeight="1">
      <c r="A244" s="13">
        <v>37</v>
      </c>
      <c r="B244" s="20" t="s">
        <v>1054</v>
      </c>
      <c r="C244" s="14" t="s">
        <v>1055</v>
      </c>
      <c r="D244" s="35" t="s">
        <v>1056</v>
      </c>
      <c r="E244" s="16">
        <v>62330</v>
      </c>
      <c r="F244" s="17" t="s">
        <v>223</v>
      </c>
      <c r="G244" s="17">
        <v>9811305468</v>
      </c>
      <c r="H244" s="25" t="s">
        <v>2970</v>
      </c>
    </row>
    <row r="245" spans="1:10" ht="11" customHeight="1">
      <c r="A245" s="13">
        <v>38</v>
      </c>
      <c r="B245" s="20" t="s">
        <v>1049</v>
      </c>
      <c r="C245" s="14" t="s">
        <v>1050</v>
      </c>
      <c r="D245" s="35" t="s">
        <v>1051</v>
      </c>
      <c r="E245" s="16">
        <v>109190</v>
      </c>
      <c r="F245" s="17" t="s">
        <v>13</v>
      </c>
      <c r="G245" s="17">
        <v>9899270676</v>
      </c>
      <c r="H245" s="25" t="s">
        <v>3028</v>
      </c>
    </row>
    <row r="246" spans="1:10" ht="11" customHeight="1">
      <c r="A246" s="13">
        <v>39</v>
      </c>
      <c r="B246" s="20" t="s">
        <v>1075</v>
      </c>
      <c r="C246" s="14" t="s">
        <v>1076</v>
      </c>
      <c r="D246" s="35" t="s">
        <v>1077</v>
      </c>
      <c r="E246" s="16">
        <v>47093</v>
      </c>
      <c r="F246" s="17" t="s">
        <v>17</v>
      </c>
      <c r="G246" s="17">
        <v>9212464009</v>
      </c>
      <c r="H246" s="25" t="s">
        <v>3342</v>
      </c>
    </row>
    <row r="247" spans="1:10" ht="11" customHeight="1">
      <c r="A247" s="13">
        <v>40</v>
      </c>
      <c r="B247" s="20" t="s">
        <v>3353</v>
      </c>
      <c r="C247" s="14"/>
      <c r="D247" s="35" t="s">
        <v>12</v>
      </c>
      <c r="E247" s="16"/>
      <c r="F247" s="17" t="s">
        <v>13</v>
      </c>
      <c r="G247" s="17" t="s">
        <v>3354</v>
      </c>
      <c r="H247" s="25" t="s">
        <v>1437</v>
      </c>
    </row>
    <row r="248" spans="1:10" ht="11" customHeight="1">
      <c r="A248" s="13">
        <v>41</v>
      </c>
      <c r="B248" s="20" t="s">
        <v>856</v>
      </c>
      <c r="C248" s="14" t="s">
        <v>857</v>
      </c>
      <c r="D248" s="35" t="s">
        <v>858</v>
      </c>
      <c r="E248" s="16">
        <v>43323</v>
      </c>
      <c r="F248" s="17" t="s">
        <v>13</v>
      </c>
      <c r="G248" s="17">
        <v>9810306936</v>
      </c>
      <c r="H248" s="25" t="s">
        <v>1437</v>
      </c>
    </row>
    <row r="249" spans="1:10" ht="11" customHeight="1">
      <c r="A249" s="13"/>
      <c r="B249" s="20" t="s">
        <v>875</v>
      </c>
      <c r="C249" s="14" t="s">
        <v>876</v>
      </c>
      <c r="D249" s="35" t="s">
        <v>383</v>
      </c>
      <c r="E249" s="16">
        <v>1890</v>
      </c>
      <c r="F249" s="17" t="s">
        <v>69</v>
      </c>
      <c r="G249" s="17"/>
      <c r="H249" s="25" t="s">
        <v>1432</v>
      </c>
    </row>
    <row r="250" spans="1:10" ht="11" customHeight="1">
      <c r="A250" s="13">
        <v>14</v>
      </c>
      <c r="B250" s="20" t="s">
        <v>1094</v>
      </c>
      <c r="C250" s="14" t="s">
        <v>3155</v>
      </c>
      <c r="D250" s="35" t="s">
        <v>352</v>
      </c>
      <c r="E250" s="16">
        <v>17237</v>
      </c>
      <c r="F250" s="17" t="s">
        <v>69</v>
      </c>
      <c r="G250" s="17">
        <v>9667127703</v>
      </c>
      <c r="H250" s="25"/>
    </row>
    <row r="251" spans="1:10" s="3" customFormat="1" ht="11" customHeight="1">
      <c r="A251" s="43">
        <v>10</v>
      </c>
      <c r="B251" s="590" t="s">
        <v>871</v>
      </c>
      <c r="C251" s="42" t="s">
        <v>872</v>
      </c>
      <c r="D251" s="738" t="s">
        <v>372</v>
      </c>
      <c r="E251" s="721">
        <v>3367</v>
      </c>
      <c r="F251" s="589" t="s">
        <v>867</v>
      </c>
      <c r="G251" s="589" t="s">
        <v>3495</v>
      </c>
      <c r="H251" s="42" t="s">
        <v>873</v>
      </c>
      <c r="I251" s="45"/>
      <c r="J251" s="468"/>
    </row>
    <row r="252" spans="1:10" s="3" customFormat="1" ht="30.5" customHeight="1">
      <c r="A252" s="41">
        <v>12</v>
      </c>
      <c r="B252" s="590" t="s">
        <v>945</v>
      </c>
      <c r="C252" s="42" t="s">
        <v>946</v>
      </c>
      <c r="D252" s="738" t="s">
        <v>66</v>
      </c>
      <c r="E252" s="721">
        <v>54318</v>
      </c>
      <c r="F252" s="589" t="s">
        <v>13</v>
      </c>
      <c r="G252" s="589">
        <v>9412294392</v>
      </c>
      <c r="H252" s="42" t="s">
        <v>2773</v>
      </c>
      <c r="I252" s="45"/>
      <c r="J252" s="851"/>
    </row>
    <row r="253" spans="1:10" ht="11" customHeight="1">
      <c r="A253" s="785"/>
      <c r="B253" s="44"/>
      <c r="C253" s="236"/>
      <c r="D253" s="251"/>
      <c r="E253" s="238"/>
      <c r="F253" s="8"/>
      <c r="G253" s="8"/>
      <c r="H253" s="786"/>
    </row>
    <row r="254" spans="1:10" ht="11" customHeight="1">
      <c r="A254" s="785"/>
      <c r="B254" s="44"/>
      <c r="C254" s="236"/>
      <c r="D254" s="251"/>
      <c r="E254" s="238"/>
      <c r="F254" s="8"/>
      <c r="G254" s="8"/>
      <c r="H254" s="786"/>
    </row>
    <row r="255" spans="1:10" ht="11" customHeight="1">
      <c r="A255" s="785"/>
      <c r="B255" s="44"/>
      <c r="C255" s="236"/>
      <c r="D255" s="251"/>
      <c r="E255" s="238"/>
      <c r="F255" s="8"/>
      <c r="G255" s="8"/>
      <c r="H255" s="786"/>
    </row>
    <row r="256" spans="1:10" ht="11" customHeight="1">
      <c r="A256" s="785"/>
      <c r="B256" s="44"/>
      <c r="C256" s="236"/>
      <c r="D256" s="251"/>
      <c r="E256" s="238"/>
      <c r="F256" s="8"/>
      <c r="G256" s="8"/>
      <c r="H256" s="786"/>
    </row>
    <row r="257" spans="1:8" ht="11" customHeight="1">
      <c r="A257" s="785"/>
      <c r="B257" s="44"/>
      <c r="C257" s="236"/>
      <c r="D257" s="251"/>
      <c r="E257" s="238"/>
      <c r="F257" s="8"/>
      <c r="G257" s="8"/>
      <c r="H257" s="786"/>
    </row>
    <row r="258" spans="1:8" ht="11" customHeight="1">
      <c r="A258" s="785"/>
      <c r="B258" s="44"/>
      <c r="C258" s="236"/>
      <c r="D258" s="251"/>
      <c r="E258" s="238"/>
      <c r="F258" s="8"/>
      <c r="G258" s="8"/>
      <c r="H258" s="786"/>
    </row>
    <row r="259" spans="1:8" ht="11" customHeight="1">
      <c r="A259" s="785"/>
      <c r="B259" s="44"/>
      <c r="C259" s="236"/>
      <c r="D259" s="251"/>
      <c r="E259" s="238"/>
      <c r="F259" s="8"/>
      <c r="G259" s="8"/>
      <c r="H259" s="786"/>
    </row>
    <row r="260" spans="1:8" ht="11" customHeight="1">
      <c r="A260" s="785"/>
      <c r="B260" s="44"/>
      <c r="C260" s="236"/>
      <c r="D260" s="251"/>
      <c r="E260" s="238"/>
      <c r="F260" s="8"/>
      <c r="G260" s="8"/>
      <c r="H260" s="786"/>
    </row>
    <row r="261" spans="1:8" ht="11" customHeight="1">
      <c r="A261" s="785"/>
      <c r="B261" s="44"/>
      <c r="C261" s="236"/>
      <c r="D261" s="251"/>
      <c r="E261" s="238"/>
      <c r="F261" s="8"/>
      <c r="G261" s="8"/>
      <c r="H261" s="786"/>
    </row>
    <row r="262" spans="1:8" ht="11" customHeight="1">
      <c r="A262" s="785"/>
      <c r="B262" s="44"/>
      <c r="C262" s="236"/>
      <c r="D262" s="251"/>
      <c r="E262" s="238"/>
      <c r="F262" s="8"/>
      <c r="G262" s="8"/>
      <c r="H262" s="786"/>
    </row>
    <row r="263" spans="1:8" ht="11" customHeight="1">
      <c r="A263" s="785"/>
      <c r="B263" s="44"/>
      <c r="C263" s="236"/>
      <c r="D263" s="251"/>
      <c r="E263" s="238"/>
      <c r="F263" s="8"/>
      <c r="G263" s="8"/>
      <c r="H263" s="786"/>
    </row>
    <row r="264" spans="1:8" ht="11" customHeight="1" thickBot="1">
      <c r="A264" s="785"/>
      <c r="B264" s="44"/>
      <c r="C264" s="236"/>
      <c r="D264" s="251"/>
      <c r="E264" s="238"/>
      <c r="F264" s="8"/>
      <c r="G264" s="8"/>
      <c r="H264" s="786"/>
    </row>
    <row r="265" spans="1:8" ht="11" customHeight="1" thickBot="1">
      <c r="A265" s="1212" t="s">
        <v>1848</v>
      </c>
      <c r="B265" s="1213"/>
      <c r="C265" s="1213"/>
      <c r="D265" s="1213"/>
      <c r="E265" s="1213"/>
      <c r="F265" s="1213"/>
      <c r="G265" s="1213"/>
      <c r="H265" s="1214"/>
    </row>
    <row r="266" spans="1:8" ht="11" customHeight="1">
      <c r="A266" s="13">
        <v>1</v>
      </c>
      <c r="B266" s="20" t="s">
        <v>1103</v>
      </c>
      <c r="C266" s="14" t="s">
        <v>1104</v>
      </c>
      <c r="D266" s="35" t="s">
        <v>955</v>
      </c>
      <c r="E266" s="16"/>
      <c r="F266" s="17"/>
      <c r="G266" s="17">
        <v>9818170377</v>
      </c>
      <c r="H266" s="26" t="s">
        <v>2098</v>
      </c>
    </row>
    <row r="267" spans="1:8" ht="11" customHeight="1">
      <c r="A267" s="13">
        <v>2</v>
      </c>
      <c r="B267" s="20" t="s">
        <v>1106</v>
      </c>
      <c r="C267" s="14" t="s">
        <v>1107</v>
      </c>
      <c r="D267" s="35" t="s">
        <v>1108</v>
      </c>
      <c r="E267" s="16"/>
      <c r="F267" s="17"/>
      <c r="G267" s="17"/>
      <c r="H267" s="26" t="s">
        <v>2358</v>
      </c>
    </row>
    <row r="268" spans="1:8" ht="11" customHeight="1">
      <c r="A268" s="13">
        <v>3</v>
      </c>
      <c r="B268" s="20" t="s">
        <v>1109</v>
      </c>
      <c r="C268" s="14" t="s">
        <v>1110</v>
      </c>
      <c r="D268" s="35" t="s">
        <v>1108</v>
      </c>
      <c r="E268" s="16"/>
      <c r="F268" s="17"/>
      <c r="G268" s="17"/>
      <c r="H268" s="26" t="s">
        <v>2358</v>
      </c>
    </row>
    <row r="269" spans="1:8" ht="11" customHeight="1">
      <c r="A269" s="13">
        <v>4</v>
      </c>
      <c r="B269" s="20" t="s">
        <v>1111</v>
      </c>
      <c r="C269" s="14" t="s">
        <v>1112</v>
      </c>
      <c r="D269" s="35" t="s">
        <v>129</v>
      </c>
      <c r="E269" s="16"/>
      <c r="F269" s="17"/>
      <c r="G269" s="17"/>
      <c r="H269" s="26">
        <v>4700.25</v>
      </c>
    </row>
    <row r="270" spans="1:8" ht="11" customHeight="1">
      <c r="A270" s="13">
        <v>5</v>
      </c>
      <c r="B270" s="20" t="s">
        <v>1123</v>
      </c>
      <c r="C270" s="14" t="s">
        <v>1124</v>
      </c>
      <c r="D270" s="35" t="s">
        <v>1125</v>
      </c>
      <c r="E270" s="16"/>
      <c r="F270" s="17"/>
      <c r="G270" s="17"/>
      <c r="H270" s="26" t="s">
        <v>2437</v>
      </c>
    </row>
    <row r="271" spans="1:8" ht="11" customHeight="1">
      <c r="A271" s="13">
        <v>6</v>
      </c>
      <c r="B271" s="20" t="s">
        <v>1114</v>
      </c>
      <c r="C271" s="14" t="s">
        <v>2272</v>
      </c>
      <c r="D271" s="35" t="s">
        <v>142</v>
      </c>
      <c r="E271" s="16"/>
      <c r="F271" s="17"/>
      <c r="G271" s="17"/>
      <c r="H271" s="26">
        <v>3260.55</v>
      </c>
    </row>
    <row r="272" spans="1:8" ht="11" customHeight="1">
      <c r="A272" s="13">
        <v>7</v>
      </c>
      <c r="B272" s="20" t="s">
        <v>1129</v>
      </c>
      <c r="C272" s="14" t="s">
        <v>1130</v>
      </c>
      <c r="D272" s="35" t="s">
        <v>178</v>
      </c>
      <c r="E272" s="16"/>
      <c r="F272" s="17"/>
      <c r="G272" s="17"/>
      <c r="H272" s="26">
        <v>2454.88</v>
      </c>
    </row>
    <row r="273" spans="1:9" ht="11" customHeight="1">
      <c r="A273" s="13">
        <v>8</v>
      </c>
      <c r="B273" s="20" t="s">
        <v>1131</v>
      </c>
      <c r="C273" s="14" t="s">
        <v>1132</v>
      </c>
      <c r="D273" s="35" t="s">
        <v>178</v>
      </c>
      <c r="E273" s="16"/>
      <c r="F273" s="17"/>
      <c r="G273" s="17"/>
      <c r="H273" s="26">
        <v>1969</v>
      </c>
    </row>
    <row r="274" spans="1:9" ht="11" customHeight="1">
      <c r="A274" s="13">
        <v>9</v>
      </c>
      <c r="B274" s="20" t="s">
        <v>1121</v>
      </c>
      <c r="C274" s="14" t="s">
        <v>1122</v>
      </c>
      <c r="D274" s="35" t="s">
        <v>628</v>
      </c>
      <c r="E274" s="16"/>
      <c r="F274" s="17"/>
      <c r="G274" s="17">
        <v>9910452587</v>
      </c>
      <c r="H274" s="26" t="s">
        <v>236</v>
      </c>
    </row>
    <row r="275" spans="1:9" ht="11" customHeight="1">
      <c r="A275" s="13">
        <v>10</v>
      </c>
      <c r="B275" s="20" t="s">
        <v>1133</v>
      </c>
      <c r="C275" s="14" t="s">
        <v>1134</v>
      </c>
      <c r="D275" s="35" t="s">
        <v>1135</v>
      </c>
      <c r="E275" s="16"/>
      <c r="F275" s="17"/>
      <c r="G275" s="17">
        <v>9350141036</v>
      </c>
      <c r="H275" s="26" t="s">
        <v>2462</v>
      </c>
    </row>
    <row r="276" spans="1:9" ht="11" customHeight="1">
      <c r="A276" s="13">
        <v>11</v>
      </c>
      <c r="B276" s="20" t="s">
        <v>1136</v>
      </c>
      <c r="C276" s="14" t="s">
        <v>2834</v>
      </c>
      <c r="D276" s="35" t="s">
        <v>2550</v>
      </c>
      <c r="E276" s="16"/>
      <c r="F276" s="17"/>
      <c r="G276" s="17">
        <v>9871690994</v>
      </c>
      <c r="H276" s="26" t="s">
        <v>1105</v>
      </c>
    </row>
    <row r="277" spans="1:9" ht="11" customHeight="1">
      <c r="A277" s="13">
        <v>12</v>
      </c>
      <c r="B277" s="20" t="s">
        <v>1153</v>
      </c>
      <c r="C277" s="14" t="s">
        <v>2797</v>
      </c>
      <c r="D277" s="35" t="s">
        <v>1154</v>
      </c>
      <c r="E277" s="16">
        <f>F277/1.18</f>
        <v>13828.813559322034</v>
      </c>
      <c r="F277" s="17">
        <v>16318</v>
      </c>
      <c r="G277" s="17" t="s">
        <v>13</v>
      </c>
      <c r="H277" s="26" t="s">
        <v>2950</v>
      </c>
    </row>
    <row r="278" spans="1:9" ht="11" customHeight="1">
      <c r="A278" s="13">
        <v>13</v>
      </c>
      <c r="B278" s="20" t="s">
        <v>1139</v>
      </c>
      <c r="C278" s="14" t="s">
        <v>2794</v>
      </c>
      <c r="D278" s="35" t="s">
        <v>1140</v>
      </c>
      <c r="E278" s="16">
        <f>F278/1.18</f>
        <v>20068.644067796613</v>
      </c>
      <c r="F278" s="17">
        <v>23681</v>
      </c>
      <c r="G278" s="17" t="s">
        <v>13</v>
      </c>
      <c r="H278" s="26">
        <v>8826059736</v>
      </c>
      <c r="I278" s="7" t="s">
        <v>1141</v>
      </c>
    </row>
    <row r="279" spans="1:9" ht="11" customHeight="1">
      <c r="A279" s="13">
        <v>14</v>
      </c>
      <c r="B279" s="20" t="s">
        <v>1148</v>
      </c>
      <c r="C279" s="14" t="s">
        <v>1149</v>
      </c>
      <c r="D279" s="35" t="s">
        <v>256</v>
      </c>
      <c r="E279" s="16">
        <f>F279/1.18</f>
        <v>13865.254237288136</v>
      </c>
      <c r="F279" s="17">
        <v>16361</v>
      </c>
      <c r="G279" s="17" t="s">
        <v>13</v>
      </c>
      <c r="H279" s="26">
        <v>7982119848</v>
      </c>
      <c r="I279" s="7" t="s">
        <v>1105</v>
      </c>
    </row>
    <row r="280" spans="1:9" ht="11" customHeight="1">
      <c r="A280" s="13">
        <v>15</v>
      </c>
      <c r="B280" s="20" t="s">
        <v>1152</v>
      </c>
      <c r="C280" s="14" t="s">
        <v>2796</v>
      </c>
      <c r="D280" s="35" t="s">
        <v>3121</v>
      </c>
      <c r="E280" s="16">
        <f>F280/1.18</f>
        <v>9084.7457627118656</v>
      </c>
      <c r="F280" s="17">
        <v>10720</v>
      </c>
      <c r="G280" s="17" t="s">
        <v>13</v>
      </c>
      <c r="H280" s="26">
        <v>9211666818</v>
      </c>
      <c r="I280" s="7" t="s">
        <v>1105</v>
      </c>
    </row>
    <row r="281" spans="1:9" ht="11" customHeight="1">
      <c r="A281" s="13">
        <v>16</v>
      </c>
      <c r="B281" s="20" t="s">
        <v>1150</v>
      </c>
      <c r="C281" s="14" t="s">
        <v>2795</v>
      </c>
      <c r="D281" s="35" t="s">
        <v>3122</v>
      </c>
      <c r="E281" s="16">
        <f>F281/1.18</f>
        <v>10811.864406779661</v>
      </c>
      <c r="F281" s="17">
        <v>12758</v>
      </c>
      <c r="G281" s="17" t="s">
        <v>13</v>
      </c>
      <c r="H281" s="26">
        <v>9315581400</v>
      </c>
      <c r="I281" s="7" t="s">
        <v>1151</v>
      </c>
    </row>
    <row r="282" spans="1:9" ht="11" customHeight="1">
      <c r="A282" s="13">
        <v>17</v>
      </c>
      <c r="B282" s="20" t="s">
        <v>3275</v>
      </c>
      <c r="C282" s="14" t="s">
        <v>2799</v>
      </c>
      <c r="D282" s="35" t="s">
        <v>2308</v>
      </c>
      <c r="E282" s="16">
        <v>37397</v>
      </c>
      <c r="F282" s="17" t="s">
        <v>13</v>
      </c>
      <c r="G282" s="17">
        <v>9899189659</v>
      </c>
      <c r="H282" s="26" t="s">
        <v>3290</v>
      </c>
    </row>
    <row r="283" spans="1:9" ht="11" customHeight="1">
      <c r="A283" s="13">
        <v>18</v>
      </c>
      <c r="B283" s="20"/>
      <c r="C283" s="14"/>
      <c r="D283" s="35"/>
      <c r="E283" s="16"/>
      <c r="F283" s="17"/>
      <c r="G283" s="17"/>
      <c r="H283" s="25"/>
    </row>
    <row r="284" spans="1:9" ht="11" customHeight="1">
      <c r="A284" s="13"/>
      <c r="B284" s="20"/>
      <c r="C284" s="14"/>
      <c r="D284" s="35"/>
      <c r="E284" s="16"/>
      <c r="F284" s="17"/>
      <c r="G284" s="17"/>
      <c r="H284" s="25"/>
    </row>
    <row r="285" spans="1:9" ht="11" customHeight="1" thickBot="1">
      <c r="A285" s="452"/>
      <c r="B285" s="546"/>
      <c r="C285" s="454"/>
      <c r="D285" s="324"/>
      <c r="E285" s="371"/>
      <c r="F285" s="364"/>
      <c r="G285" s="364"/>
      <c r="H285" s="574"/>
    </row>
    <row r="286" spans="1:9" ht="11" customHeight="1" thickBot="1">
      <c r="A286" s="1212" t="s">
        <v>1849</v>
      </c>
      <c r="B286" s="1213"/>
      <c r="C286" s="1213"/>
      <c r="D286" s="1213"/>
      <c r="E286" s="1213"/>
      <c r="F286" s="1213"/>
      <c r="G286" s="1213"/>
      <c r="H286" s="1214"/>
    </row>
    <row r="287" spans="1:9" ht="11" customHeight="1">
      <c r="A287" s="13">
        <v>1</v>
      </c>
      <c r="B287" s="14" t="s">
        <v>1850</v>
      </c>
      <c r="C287" s="14">
        <v>18846997</v>
      </c>
      <c r="D287" s="15" t="s">
        <v>1851</v>
      </c>
      <c r="E287" s="16">
        <v>15277</v>
      </c>
      <c r="F287" s="17" t="s">
        <v>17</v>
      </c>
      <c r="G287" s="17">
        <v>8287457431</v>
      </c>
      <c r="H287" s="36" t="s">
        <v>1852</v>
      </c>
    </row>
    <row r="288" spans="1:9" ht="11" customHeight="1">
      <c r="A288" s="13">
        <v>2</v>
      </c>
      <c r="B288" s="14" t="s">
        <v>1853</v>
      </c>
      <c r="C288" s="14" t="s">
        <v>1854</v>
      </c>
      <c r="D288" s="15" t="s">
        <v>1855</v>
      </c>
      <c r="E288" s="16">
        <v>8733</v>
      </c>
      <c r="F288" s="17" t="s">
        <v>13</v>
      </c>
      <c r="G288" s="17">
        <v>9810222427</v>
      </c>
      <c r="H288" s="36"/>
    </row>
    <row r="289" spans="1:8" ht="11" customHeight="1">
      <c r="A289" s="13">
        <v>3</v>
      </c>
      <c r="B289" s="14" t="s">
        <v>1856</v>
      </c>
      <c r="C289" s="14" t="s">
        <v>1857</v>
      </c>
      <c r="D289" s="15" t="s">
        <v>1858</v>
      </c>
      <c r="E289" s="16">
        <v>403</v>
      </c>
      <c r="F289" s="17" t="s">
        <v>13</v>
      </c>
      <c r="G289" s="17"/>
      <c r="H289" s="36" t="s">
        <v>1859</v>
      </c>
    </row>
    <row r="290" spans="1:8" ht="11" customHeight="1">
      <c r="A290" s="13">
        <v>4</v>
      </c>
      <c r="B290" s="14" t="s">
        <v>1860</v>
      </c>
      <c r="C290" s="14" t="s">
        <v>1861</v>
      </c>
      <c r="D290" s="15" t="s">
        <v>1862</v>
      </c>
      <c r="E290" s="16">
        <v>994</v>
      </c>
      <c r="F290" s="17" t="s">
        <v>13</v>
      </c>
      <c r="G290" s="17"/>
      <c r="H290" s="36" t="s">
        <v>1859</v>
      </c>
    </row>
    <row r="291" spans="1:8" ht="11" customHeight="1">
      <c r="A291" s="13">
        <v>5</v>
      </c>
      <c r="B291" s="14" t="s">
        <v>1863</v>
      </c>
      <c r="C291" s="14" t="s">
        <v>1864</v>
      </c>
      <c r="D291" s="15" t="s">
        <v>1862</v>
      </c>
      <c r="E291" s="16">
        <v>523</v>
      </c>
      <c r="F291" s="17" t="s">
        <v>13</v>
      </c>
      <c r="G291" s="17"/>
      <c r="H291" s="36" t="s">
        <v>1859</v>
      </c>
    </row>
    <row r="292" spans="1:8" ht="11" customHeight="1">
      <c r="A292" s="13">
        <v>6</v>
      </c>
      <c r="B292" s="14" t="s">
        <v>1865</v>
      </c>
      <c r="C292" s="14" t="s">
        <v>1866</v>
      </c>
      <c r="D292" s="15" t="s">
        <v>1867</v>
      </c>
      <c r="E292" s="16">
        <v>553</v>
      </c>
      <c r="F292" s="17" t="s">
        <v>13</v>
      </c>
      <c r="G292" s="17"/>
      <c r="H292" s="18" t="s">
        <v>1859</v>
      </c>
    </row>
    <row r="293" spans="1:8" ht="11" customHeight="1">
      <c r="A293" s="13">
        <v>7</v>
      </c>
      <c r="B293" s="14" t="s">
        <v>1868</v>
      </c>
      <c r="C293" s="14" t="s">
        <v>1869</v>
      </c>
      <c r="D293" s="15" t="s">
        <v>1867</v>
      </c>
      <c r="E293" s="16">
        <v>1493</v>
      </c>
      <c r="F293" s="17" t="s">
        <v>13</v>
      </c>
      <c r="G293" s="17"/>
      <c r="H293" s="18" t="s">
        <v>1859</v>
      </c>
    </row>
    <row r="294" spans="1:8" ht="11" customHeight="1">
      <c r="A294" s="13">
        <v>8</v>
      </c>
      <c r="B294" s="14" t="s">
        <v>1870</v>
      </c>
      <c r="C294" s="14">
        <v>17495413</v>
      </c>
      <c r="D294" s="15" t="s">
        <v>1871</v>
      </c>
      <c r="E294" s="16">
        <v>17576</v>
      </c>
      <c r="F294" s="17" t="s">
        <v>13</v>
      </c>
      <c r="G294" s="17">
        <v>9910153558</v>
      </c>
      <c r="H294" s="18" t="s">
        <v>1371</v>
      </c>
    </row>
    <row r="295" spans="1:8" ht="11" customHeight="1">
      <c r="A295" s="13">
        <v>9</v>
      </c>
      <c r="B295" s="14" t="s">
        <v>1872</v>
      </c>
      <c r="C295" s="14" t="s">
        <v>1873</v>
      </c>
      <c r="D295" s="15" t="s">
        <v>1874</v>
      </c>
      <c r="E295" s="16">
        <v>15240</v>
      </c>
      <c r="F295" s="17" t="s">
        <v>13</v>
      </c>
      <c r="G295" s="17"/>
      <c r="H295" s="18"/>
    </row>
    <row r="296" spans="1:8" ht="11" customHeight="1">
      <c r="A296" s="13">
        <v>10</v>
      </c>
      <c r="B296" s="14" t="s">
        <v>1875</v>
      </c>
      <c r="C296" s="14" t="s">
        <v>1876</v>
      </c>
      <c r="D296" s="15" t="s">
        <v>1877</v>
      </c>
      <c r="E296" s="16">
        <v>1401</v>
      </c>
      <c r="F296" s="17" t="s">
        <v>13</v>
      </c>
      <c r="G296" s="17">
        <v>9723</v>
      </c>
      <c r="H296" s="18" t="s">
        <v>1859</v>
      </c>
    </row>
    <row r="297" spans="1:8" ht="11" customHeight="1">
      <c r="A297" s="13">
        <v>11</v>
      </c>
      <c r="B297" s="14" t="s">
        <v>1878</v>
      </c>
      <c r="C297" s="14" t="s">
        <v>1879</v>
      </c>
      <c r="D297" s="15" t="s">
        <v>1877</v>
      </c>
      <c r="E297" s="16">
        <v>2462</v>
      </c>
      <c r="F297" s="17" t="s">
        <v>13</v>
      </c>
      <c r="G297" s="17"/>
      <c r="H297" s="18" t="s">
        <v>1859</v>
      </c>
    </row>
    <row r="298" spans="1:8" ht="11" customHeight="1">
      <c r="A298" s="13">
        <v>12</v>
      </c>
      <c r="B298" s="14" t="s">
        <v>1880</v>
      </c>
      <c r="C298" s="14" t="s">
        <v>1881</v>
      </c>
      <c r="D298" s="15" t="s">
        <v>1882</v>
      </c>
      <c r="E298" s="16">
        <v>2526</v>
      </c>
      <c r="F298" s="17" t="s">
        <v>13</v>
      </c>
      <c r="G298" s="17"/>
      <c r="H298" s="18" t="s">
        <v>1859</v>
      </c>
    </row>
    <row r="299" spans="1:8" ht="11" customHeight="1">
      <c r="A299" s="13">
        <v>13</v>
      </c>
      <c r="B299" s="14" t="s">
        <v>1883</v>
      </c>
      <c r="C299" s="14" t="s">
        <v>1884</v>
      </c>
      <c r="D299" s="15" t="s">
        <v>1885</v>
      </c>
      <c r="E299" s="16">
        <v>44214</v>
      </c>
      <c r="F299" s="17" t="s">
        <v>17</v>
      </c>
      <c r="G299" s="17">
        <v>4199</v>
      </c>
      <c r="H299" s="18" t="s">
        <v>1859</v>
      </c>
    </row>
    <row r="300" spans="1:8" ht="11" customHeight="1">
      <c r="A300" s="13">
        <v>14</v>
      </c>
      <c r="B300" s="14" t="s">
        <v>1886</v>
      </c>
      <c r="C300" s="14" t="s">
        <v>1887</v>
      </c>
      <c r="D300" s="15" t="s">
        <v>1888</v>
      </c>
      <c r="E300" s="16">
        <v>25671</v>
      </c>
      <c r="F300" s="17" t="s">
        <v>13</v>
      </c>
      <c r="G300" s="17"/>
      <c r="H300" s="18" t="s">
        <v>1859</v>
      </c>
    </row>
    <row r="301" spans="1:8" ht="11" customHeight="1">
      <c r="A301" s="13">
        <v>15</v>
      </c>
      <c r="B301" s="14" t="s">
        <v>1889</v>
      </c>
      <c r="C301" s="14">
        <v>47966256</v>
      </c>
      <c r="D301" s="15" t="s">
        <v>1890</v>
      </c>
      <c r="E301" s="16">
        <v>12284</v>
      </c>
      <c r="F301" s="17" t="s">
        <v>17</v>
      </c>
      <c r="G301" s="17">
        <v>7830243090</v>
      </c>
      <c r="H301" s="18" t="s">
        <v>1891</v>
      </c>
    </row>
    <row r="302" spans="1:8" ht="11" customHeight="1">
      <c r="A302" s="13">
        <v>16</v>
      </c>
      <c r="B302" s="14" t="s">
        <v>1892</v>
      </c>
      <c r="C302" s="14" t="s">
        <v>1893</v>
      </c>
      <c r="D302" s="15" t="s">
        <v>1894</v>
      </c>
      <c r="E302" s="16">
        <v>1510</v>
      </c>
      <c r="F302" s="17" t="s">
        <v>13</v>
      </c>
      <c r="G302" s="17">
        <v>9811944477</v>
      </c>
      <c r="H302" s="18"/>
    </row>
    <row r="303" spans="1:8" ht="11" customHeight="1">
      <c r="A303" s="13">
        <v>17</v>
      </c>
      <c r="B303" s="14" t="s">
        <v>1895</v>
      </c>
      <c r="C303" s="14" t="s">
        <v>1896</v>
      </c>
      <c r="D303" s="15" t="s">
        <v>1897</v>
      </c>
      <c r="E303" s="16">
        <v>20151</v>
      </c>
      <c r="F303" s="17" t="s">
        <v>1898</v>
      </c>
      <c r="G303" s="17"/>
      <c r="H303" s="18"/>
    </row>
    <row r="304" spans="1:8" ht="11" customHeight="1">
      <c r="A304" s="13">
        <v>18</v>
      </c>
      <c r="B304" s="14" t="s">
        <v>1899</v>
      </c>
      <c r="C304" s="14">
        <v>33224285</v>
      </c>
      <c r="D304" s="15" t="s">
        <v>1900</v>
      </c>
      <c r="E304" s="16">
        <v>241554</v>
      </c>
      <c r="F304" s="17" t="s">
        <v>13</v>
      </c>
      <c r="G304" s="17">
        <v>9971025606</v>
      </c>
      <c r="H304" s="18" t="s">
        <v>1532</v>
      </c>
    </row>
    <row r="305" spans="1:9" ht="11" customHeight="1">
      <c r="A305" s="13">
        <v>19</v>
      </c>
      <c r="B305" s="14" t="s">
        <v>1901</v>
      </c>
      <c r="C305" s="14" t="s">
        <v>1902</v>
      </c>
      <c r="D305" s="15" t="s">
        <v>1903</v>
      </c>
      <c r="E305" s="16">
        <v>12798</v>
      </c>
      <c r="F305" s="17" t="s">
        <v>13</v>
      </c>
      <c r="G305" s="17"/>
      <c r="H305" s="18" t="s">
        <v>903</v>
      </c>
    </row>
    <row r="306" spans="1:9" ht="11" customHeight="1">
      <c r="A306" s="13">
        <v>20</v>
      </c>
      <c r="B306" s="14" t="s">
        <v>1901</v>
      </c>
      <c r="C306" s="14" t="s">
        <v>1904</v>
      </c>
      <c r="D306" s="15" t="s">
        <v>1905</v>
      </c>
      <c r="E306" s="16">
        <v>16853</v>
      </c>
      <c r="F306" s="17" t="s">
        <v>29</v>
      </c>
      <c r="G306" s="17">
        <v>7982274096</v>
      </c>
      <c r="H306" s="18" t="s">
        <v>903</v>
      </c>
    </row>
    <row r="307" spans="1:9" ht="11" customHeight="1">
      <c r="A307" s="13">
        <v>21</v>
      </c>
      <c r="B307" s="14" t="s">
        <v>1906</v>
      </c>
      <c r="C307" s="14">
        <v>74487336</v>
      </c>
      <c r="D307" s="15" t="s">
        <v>1903</v>
      </c>
      <c r="E307" s="16">
        <v>1243</v>
      </c>
      <c r="F307" s="17"/>
      <c r="G307" s="17"/>
      <c r="H307" s="18" t="s">
        <v>903</v>
      </c>
    </row>
    <row r="308" spans="1:9" ht="11" customHeight="1">
      <c r="A308" s="13">
        <v>22</v>
      </c>
      <c r="B308" s="14" t="s">
        <v>1907</v>
      </c>
      <c r="C308" s="14" t="s">
        <v>1908</v>
      </c>
      <c r="D308" s="15" t="s">
        <v>1909</v>
      </c>
      <c r="E308" s="16">
        <v>1987</v>
      </c>
      <c r="F308" s="17" t="s">
        <v>1910</v>
      </c>
      <c r="G308" s="17"/>
      <c r="H308" s="18" t="s">
        <v>903</v>
      </c>
    </row>
    <row r="309" spans="1:9" ht="11" customHeight="1">
      <c r="A309" s="13">
        <v>23</v>
      </c>
      <c r="B309" s="14" t="s">
        <v>1911</v>
      </c>
      <c r="C309" s="14">
        <v>63080738</v>
      </c>
      <c r="D309" s="15" t="s">
        <v>1912</v>
      </c>
      <c r="E309" s="16">
        <v>29152</v>
      </c>
      <c r="F309" s="17" t="s">
        <v>17</v>
      </c>
      <c r="G309" s="17"/>
      <c r="H309" s="18" t="s">
        <v>903</v>
      </c>
    </row>
    <row r="310" spans="1:9" ht="11" customHeight="1">
      <c r="A310" s="13">
        <v>24</v>
      </c>
      <c r="B310" s="14" t="s">
        <v>1913</v>
      </c>
      <c r="C310" s="14" t="s">
        <v>1914</v>
      </c>
      <c r="D310" s="15" t="s">
        <v>1915</v>
      </c>
      <c r="E310" s="16">
        <v>298884</v>
      </c>
      <c r="F310" s="17"/>
      <c r="G310" s="17"/>
      <c r="H310" s="18" t="s">
        <v>1916</v>
      </c>
      <c r="I310" s="7" t="s">
        <v>1917</v>
      </c>
    </row>
    <row r="311" spans="1:9" ht="11" customHeight="1">
      <c r="A311" s="13">
        <v>25</v>
      </c>
      <c r="B311" s="14" t="s">
        <v>1918</v>
      </c>
      <c r="C311" s="14">
        <v>75840039</v>
      </c>
      <c r="D311" s="15" t="s">
        <v>1919</v>
      </c>
      <c r="E311" s="16">
        <v>44008</v>
      </c>
      <c r="F311" s="17" t="s">
        <v>13</v>
      </c>
      <c r="G311" s="17">
        <v>8376863447</v>
      </c>
      <c r="H311" s="18" t="s">
        <v>1920</v>
      </c>
    </row>
    <row r="312" spans="1:9" ht="11" customHeight="1">
      <c r="A312" s="13">
        <v>26</v>
      </c>
      <c r="B312" s="14" t="s">
        <v>1921</v>
      </c>
      <c r="C312" s="14">
        <v>7584383</v>
      </c>
      <c r="D312" s="15" t="s">
        <v>1919</v>
      </c>
      <c r="E312" s="16">
        <v>10902</v>
      </c>
      <c r="F312" s="17" t="s">
        <v>21</v>
      </c>
      <c r="G312" s="17">
        <v>8376863447</v>
      </c>
      <c r="H312" s="18" t="s">
        <v>1920</v>
      </c>
    </row>
    <row r="313" spans="1:9" ht="11" customHeight="1">
      <c r="A313" s="13">
        <v>27</v>
      </c>
      <c r="B313" s="14" t="s">
        <v>1922</v>
      </c>
      <c r="C313" s="14">
        <v>78901438</v>
      </c>
      <c r="D313" s="15" t="s">
        <v>1923</v>
      </c>
      <c r="E313" s="16">
        <v>13526</v>
      </c>
      <c r="F313" s="17" t="s">
        <v>21</v>
      </c>
      <c r="G313" s="17"/>
      <c r="H313" s="18"/>
      <c r="I313" s="7" t="s">
        <v>1924</v>
      </c>
    </row>
    <row r="314" spans="1:9" ht="11" customHeight="1">
      <c r="A314" s="13">
        <v>28</v>
      </c>
      <c r="B314" s="14" t="s">
        <v>1204</v>
      </c>
      <c r="C314" s="14">
        <v>30545700</v>
      </c>
      <c r="D314" s="15" t="s">
        <v>938</v>
      </c>
      <c r="E314" s="16">
        <v>26769</v>
      </c>
      <c r="F314" s="17" t="s">
        <v>17</v>
      </c>
      <c r="G314" s="17">
        <v>8368177269</v>
      </c>
      <c r="H314" s="18" t="s">
        <v>2142</v>
      </c>
    </row>
    <row r="315" spans="1:9" ht="11" customHeight="1">
      <c r="A315" s="13">
        <v>29</v>
      </c>
      <c r="B315" s="14" t="s">
        <v>1208</v>
      </c>
      <c r="C315" s="14" t="s">
        <v>1209</v>
      </c>
      <c r="D315" s="15" t="s">
        <v>1210</v>
      </c>
      <c r="E315" s="16">
        <v>612</v>
      </c>
      <c r="F315" s="17"/>
      <c r="G315" s="17"/>
      <c r="H315" s="18" t="s">
        <v>903</v>
      </c>
      <c r="I315" s="7" t="s">
        <v>1211</v>
      </c>
    </row>
    <row r="316" spans="1:9" ht="11" customHeight="1">
      <c r="A316" s="13">
        <v>30</v>
      </c>
      <c r="B316" s="14" t="s">
        <v>1212</v>
      </c>
      <c r="C316" s="14" t="s">
        <v>1213</v>
      </c>
      <c r="D316" s="15" t="s">
        <v>1210</v>
      </c>
      <c r="E316" s="16">
        <v>612</v>
      </c>
      <c r="F316" s="17"/>
      <c r="G316" s="17"/>
      <c r="H316" s="18" t="s">
        <v>903</v>
      </c>
      <c r="I316" s="7" t="s">
        <v>1211</v>
      </c>
    </row>
    <row r="317" spans="1:9" ht="11" customHeight="1">
      <c r="A317" s="13">
        <v>31</v>
      </c>
      <c r="B317" s="14" t="s">
        <v>1215</v>
      </c>
      <c r="C317" s="14" t="s">
        <v>1216</v>
      </c>
      <c r="D317" s="15" t="s">
        <v>1217</v>
      </c>
      <c r="E317" s="16">
        <v>2091</v>
      </c>
      <c r="F317" s="17"/>
      <c r="G317" s="17"/>
      <c r="H317" s="18" t="s">
        <v>903</v>
      </c>
      <c r="I317" s="7" t="s">
        <v>1218</v>
      </c>
    </row>
    <row r="318" spans="1:9" ht="11" customHeight="1">
      <c r="A318" s="13">
        <v>32</v>
      </c>
      <c r="B318" s="14" t="s">
        <v>1219</v>
      </c>
      <c r="C318" s="14" t="s">
        <v>1220</v>
      </c>
      <c r="D318" s="15" t="s">
        <v>1217</v>
      </c>
      <c r="E318" s="16">
        <v>1356</v>
      </c>
      <c r="F318" s="17"/>
      <c r="G318" s="17"/>
      <c r="H318" s="18" t="s">
        <v>903</v>
      </c>
      <c r="I318" s="7" t="s">
        <v>1218</v>
      </c>
    </row>
    <row r="319" spans="1:9" ht="11" customHeight="1">
      <c r="A319" s="13">
        <v>16</v>
      </c>
      <c r="B319" s="14" t="s">
        <v>1227</v>
      </c>
      <c r="C319" s="14">
        <v>73756629</v>
      </c>
      <c r="D319" s="15" t="s">
        <v>309</v>
      </c>
      <c r="E319" s="16">
        <v>32262</v>
      </c>
      <c r="F319" s="17" t="s">
        <v>21</v>
      </c>
      <c r="G319" s="17">
        <v>144</v>
      </c>
      <c r="H319" s="18" t="s">
        <v>3060</v>
      </c>
    </row>
    <row r="320" spans="1:9" ht="11" customHeight="1">
      <c r="A320" s="13">
        <v>18</v>
      </c>
      <c r="B320" s="14" t="s">
        <v>1232</v>
      </c>
      <c r="C320" s="14">
        <v>94223544</v>
      </c>
      <c r="D320" s="15" t="s">
        <v>1233</v>
      </c>
      <c r="E320" s="16">
        <v>33241</v>
      </c>
      <c r="F320" s="17" t="s">
        <v>69</v>
      </c>
      <c r="G320" s="17">
        <v>9734</v>
      </c>
      <c r="H320" s="18" t="s">
        <v>3404</v>
      </c>
    </row>
    <row r="321" spans="1:9" ht="11" customHeight="1">
      <c r="A321" s="13"/>
      <c r="B321" s="14"/>
      <c r="C321" s="14"/>
      <c r="D321" s="15"/>
      <c r="E321" s="16"/>
      <c r="F321" s="17"/>
      <c r="G321" s="17"/>
      <c r="H321" s="18"/>
    </row>
    <row r="322" spans="1:9" s="126" customFormat="1" ht="11" customHeight="1">
      <c r="A322" s="131">
        <v>1</v>
      </c>
      <c r="B322" s="132" t="s">
        <v>1198</v>
      </c>
      <c r="C322" s="132" t="s">
        <v>1199</v>
      </c>
      <c r="D322" s="133" t="s">
        <v>372</v>
      </c>
      <c r="E322" s="134">
        <v>20633</v>
      </c>
      <c r="F322" s="134" t="s">
        <v>17</v>
      </c>
      <c r="G322" s="134"/>
      <c r="H322" s="135" t="s">
        <v>903</v>
      </c>
      <c r="I322" s="173" t="s">
        <v>1200</v>
      </c>
    </row>
    <row r="323" spans="1:9" ht="11" customHeight="1">
      <c r="A323" s="13"/>
      <c r="B323" s="14"/>
      <c r="C323" s="14"/>
      <c r="D323" s="15"/>
      <c r="E323" s="16"/>
      <c r="F323" s="17"/>
      <c r="G323" s="17"/>
      <c r="H323" s="18"/>
    </row>
    <row r="324" spans="1:9" s="62" customFormat="1" ht="40" customHeight="1">
      <c r="A324" s="896">
        <v>6</v>
      </c>
      <c r="B324" s="640" t="s">
        <v>2124</v>
      </c>
      <c r="C324" s="843">
        <v>17306815</v>
      </c>
      <c r="D324" s="842" t="s">
        <v>1207</v>
      </c>
      <c r="E324" s="844">
        <v>104402</v>
      </c>
      <c r="F324" s="845" t="s">
        <v>17</v>
      </c>
      <c r="G324" s="845">
        <v>9958092161</v>
      </c>
      <c r="H324" s="846" t="s">
        <v>1437</v>
      </c>
      <c r="I324" s="847"/>
    </row>
    <row r="325" spans="1:9" ht="11" customHeight="1">
      <c r="A325" s="13"/>
      <c r="B325" s="14"/>
      <c r="C325" s="14"/>
      <c r="D325" s="15"/>
      <c r="E325" s="16"/>
      <c r="F325" s="17"/>
      <c r="G325" s="17"/>
      <c r="H325" s="18"/>
    </row>
    <row r="326" spans="1:9" ht="11" customHeight="1" thickBot="1">
      <c r="A326" s="13"/>
      <c r="B326" s="14"/>
      <c r="C326" s="14"/>
      <c r="D326" s="15"/>
      <c r="E326" s="16"/>
      <c r="F326" s="17"/>
      <c r="G326" s="17"/>
      <c r="H326" s="18"/>
    </row>
    <row r="327" spans="1:9" ht="11" customHeight="1" thickBot="1">
      <c r="A327" s="1212" t="s">
        <v>1925</v>
      </c>
      <c r="B327" s="1213"/>
      <c r="C327" s="1213"/>
      <c r="D327" s="1213"/>
      <c r="E327" s="1213"/>
      <c r="F327" s="1213"/>
      <c r="G327" s="1213"/>
      <c r="H327" s="1214"/>
    </row>
    <row r="328" spans="1:9" ht="11" customHeight="1">
      <c r="A328" s="13">
        <v>1</v>
      </c>
      <c r="B328" s="14" t="s">
        <v>1926</v>
      </c>
      <c r="C328" s="14" t="s">
        <v>1927</v>
      </c>
      <c r="D328" s="15" t="s">
        <v>1928</v>
      </c>
      <c r="E328" s="16">
        <v>10502</v>
      </c>
      <c r="F328" s="17" t="s">
        <v>29</v>
      </c>
      <c r="G328" s="17">
        <v>9949588948</v>
      </c>
      <c r="H328" s="1224" t="s">
        <v>1929</v>
      </c>
    </row>
    <row r="329" spans="1:9" ht="11" customHeight="1">
      <c r="A329" s="13">
        <v>2</v>
      </c>
      <c r="B329" s="14" t="s">
        <v>1930</v>
      </c>
      <c r="C329" s="14" t="s">
        <v>1931</v>
      </c>
      <c r="D329" s="15" t="s">
        <v>1932</v>
      </c>
      <c r="E329" s="16">
        <v>10502</v>
      </c>
      <c r="F329" s="17" t="s">
        <v>29</v>
      </c>
      <c r="G329" s="17">
        <v>9868746951</v>
      </c>
      <c r="H329" s="1224"/>
    </row>
    <row r="330" spans="1:9" ht="11" customHeight="1">
      <c r="A330" s="13">
        <v>3</v>
      </c>
      <c r="B330" s="14" t="s">
        <v>1933</v>
      </c>
      <c r="C330" s="14" t="s">
        <v>1934</v>
      </c>
      <c r="D330" s="15" t="s">
        <v>1935</v>
      </c>
      <c r="E330" s="16">
        <v>10502</v>
      </c>
      <c r="F330" s="17" t="s">
        <v>29</v>
      </c>
      <c r="G330" s="17">
        <v>9582588458</v>
      </c>
      <c r="H330" s="1224"/>
    </row>
    <row r="331" spans="1:9" ht="11" customHeight="1">
      <c r="A331" s="13">
        <v>4</v>
      </c>
      <c r="B331" s="14" t="s">
        <v>1936</v>
      </c>
      <c r="C331" s="14" t="s">
        <v>1937</v>
      </c>
      <c r="D331" s="15" t="s">
        <v>1938</v>
      </c>
      <c r="E331" s="16">
        <v>10502</v>
      </c>
      <c r="F331" s="17" t="s">
        <v>29</v>
      </c>
      <c r="G331" s="17">
        <v>9582588458</v>
      </c>
      <c r="H331" s="1224"/>
    </row>
    <row r="332" spans="1:9" ht="11" customHeight="1">
      <c r="A332" s="13">
        <v>5</v>
      </c>
      <c r="B332" s="14" t="s">
        <v>1936</v>
      </c>
      <c r="C332" s="14" t="s">
        <v>1939</v>
      </c>
      <c r="D332" s="15" t="s">
        <v>1940</v>
      </c>
      <c r="E332" s="16">
        <v>6502</v>
      </c>
      <c r="F332" s="17" t="s">
        <v>1941</v>
      </c>
      <c r="G332" s="17">
        <v>9582588458</v>
      </c>
      <c r="H332" s="1224"/>
    </row>
    <row r="333" spans="1:9" ht="11" customHeight="1">
      <c r="A333" s="13">
        <v>6</v>
      </c>
      <c r="B333" s="14" t="s">
        <v>1942</v>
      </c>
      <c r="C333" s="14" t="s">
        <v>1943</v>
      </c>
      <c r="D333" s="15" t="s">
        <v>1944</v>
      </c>
      <c r="E333" s="16">
        <v>10502</v>
      </c>
      <c r="F333" s="17" t="s">
        <v>29</v>
      </c>
      <c r="G333" s="17">
        <v>9310563900</v>
      </c>
      <c r="H333" s="1224"/>
    </row>
    <row r="334" spans="1:9" ht="11" customHeight="1">
      <c r="A334" s="13">
        <v>7</v>
      </c>
      <c r="B334" s="14" t="s">
        <v>1945</v>
      </c>
      <c r="C334" s="14" t="s">
        <v>1946</v>
      </c>
      <c r="D334" s="15" t="s">
        <v>1947</v>
      </c>
      <c r="E334" s="16">
        <v>10502</v>
      </c>
      <c r="F334" s="17" t="s">
        <v>29</v>
      </c>
      <c r="G334" s="17">
        <v>9319419842</v>
      </c>
      <c r="H334" s="18" t="s">
        <v>1948</v>
      </c>
    </row>
    <row r="335" spans="1:9" ht="11" customHeight="1">
      <c r="A335" s="13">
        <v>8</v>
      </c>
      <c r="B335" s="14" t="s">
        <v>1949</v>
      </c>
      <c r="C335" s="14" t="s">
        <v>1950</v>
      </c>
      <c r="D335" s="15" t="s">
        <v>1951</v>
      </c>
      <c r="E335" s="16">
        <v>10502</v>
      </c>
      <c r="F335" s="17" t="s">
        <v>29</v>
      </c>
      <c r="G335" s="17">
        <v>7620349484</v>
      </c>
      <c r="H335" s="18" t="s">
        <v>1952</v>
      </c>
    </row>
    <row r="336" spans="1:9" ht="11" customHeight="1">
      <c r="A336" s="13">
        <v>9</v>
      </c>
      <c r="B336" s="14" t="s">
        <v>1953</v>
      </c>
      <c r="C336" s="14" t="s">
        <v>1954</v>
      </c>
      <c r="D336" s="15" t="s">
        <v>1955</v>
      </c>
      <c r="E336" s="16">
        <v>10502</v>
      </c>
      <c r="F336" s="17" t="s">
        <v>29</v>
      </c>
      <c r="G336" s="17">
        <v>9718928672</v>
      </c>
      <c r="H336" s="18" t="s">
        <v>1956</v>
      </c>
    </row>
    <row r="337" spans="1:8" ht="11" customHeight="1">
      <c r="A337" s="13">
        <v>10</v>
      </c>
      <c r="B337" s="14" t="s">
        <v>1957</v>
      </c>
      <c r="C337" s="14" t="s">
        <v>1958</v>
      </c>
      <c r="D337" s="15" t="s">
        <v>1959</v>
      </c>
      <c r="E337" s="16">
        <v>10502</v>
      </c>
      <c r="F337" s="17" t="s">
        <v>29</v>
      </c>
      <c r="G337" s="17">
        <v>9911411220</v>
      </c>
      <c r="H337" s="18" t="s">
        <v>579</v>
      </c>
    </row>
    <row r="338" spans="1:8" ht="11" customHeight="1">
      <c r="A338" s="13">
        <v>11</v>
      </c>
      <c r="B338" s="14" t="s">
        <v>1960</v>
      </c>
      <c r="C338" s="14" t="s">
        <v>1961</v>
      </c>
      <c r="D338" s="15" t="s">
        <v>1962</v>
      </c>
      <c r="E338" s="16">
        <v>10502</v>
      </c>
      <c r="F338" s="17" t="s">
        <v>29</v>
      </c>
      <c r="G338" s="17">
        <v>9871883329</v>
      </c>
      <c r="H338" s="18" t="s">
        <v>579</v>
      </c>
    </row>
    <row r="339" spans="1:8" ht="11" customHeight="1">
      <c r="A339" s="13">
        <v>12</v>
      </c>
      <c r="B339" s="14" t="s">
        <v>1706</v>
      </c>
      <c r="C339" s="14" t="s">
        <v>1963</v>
      </c>
      <c r="D339" s="15" t="s">
        <v>1623</v>
      </c>
      <c r="E339" s="16">
        <v>10502</v>
      </c>
      <c r="F339" s="17" t="s">
        <v>24</v>
      </c>
      <c r="G339" s="17">
        <v>9811377423</v>
      </c>
      <c r="H339" s="18" t="s">
        <v>1964</v>
      </c>
    </row>
    <row r="340" spans="1:8" ht="11" customHeight="1">
      <c r="A340" s="13">
        <v>13</v>
      </c>
      <c r="B340" s="14" t="s">
        <v>1967</v>
      </c>
      <c r="C340" s="14" t="s">
        <v>1968</v>
      </c>
      <c r="D340" s="15" t="s">
        <v>1969</v>
      </c>
      <c r="E340" s="16">
        <v>10502</v>
      </c>
      <c r="F340" s="17" t="s">
        <v>29</v>
      </c>
      <c r="G340" s="17">
        <v>8527908630</v>
      </c>
      <c r="H340" s="18" t="s">
        <v>1970</v>
      </c>
    </row>
    <row r="341" spans="1:8" ht="11" customHeight="1">
      <c r="A341" s="13">
        <v>14</v>
      </c>
      <c r="B341" s="14" t="s">
        <v>1971</v>
      </c>
      <c r="C341" s="14" t="s">
        <v>1972</v>
      </c>
      <c r="D341" s="15" t="s">
        <v>1973</v>
      </c>
      <c r="E341" s="16">
        <v>35859</v>
      </c>
      <c r="F341" s="17" t="s">
        <v>13</v>
      </c>
      <c r="G341" s="17">
        <v>7760176344</v>
      </c>
      <c r="H341" s="18" t="s">
        <v>1974</v>
      </c>
    </row>
    <row r="342" spans="1:8" ht="11" customHeight="1">
      <c r="A342" s="13">
        <v>15</v>
      </c>
      <c r="B342" s="14" t="s">
        <v>1975</v>
      </c>
      <c r="C342" s="14" t="s">
        <v>1976</v>
      </c>
      <c r="D342" s="15" t="s">
        <v>1977</v>
      </c>
      <c r="E342" s="16">
        <v>10502</v>
      </c>
      <c r="F342" s="17" t="s">
        <v>29</v>
      </c>
      <c r="G342" s="17">
        <v>9811757583</v>
      </c>
      <c r="H342" s="18" t="s">
        <v>1974</v>
      </c>
    </row>
    <row r="343" spans="1:8" ht="11" customHeight="1">
      <c r="A343" s="13">
        <v>16</v>
      </c>
      <c r="B343" s="14" t="s">
        <v>1978</v>
      </c>
      <c r="C343" s="14" t="s">
        <v>1979</v>
      </c>
      <c r="D343" s="15" t="s">
        <v>1980</v>
      </c>
      <c r="E343" s="16">
        <v>29143</v>
      </c>
      <c r="F343" s="17" t="s">
        <v>29</v>
      </c>
      <c r="G343" s="17">
        <v>9958655996</v>
      </c>
      <c r="H343" s="18" t="s">
        <v>1981</v>
      </c>
    </row>
    <row r="344" spans="1:8" ht="11" customHeight="1">
      <c r="A344" s="13">
        <v>17</v>
      </c>
      <c r="B344" s="14" t="s">
        <v>1982</v>
      </c>
      <c r="C344" s="14" t="s">
        <v>1983</v>
      </c>
      <c r="D344" s="15" t="s">
        <v>1468</v>
      </c>
      <c r="E344" s="16">
        <v>10502</v>
      </c>
      <c r="F344" s="17" t="s">
        <v>29</v>
      </c>
      <c r="G344" s="17">
        <v>9873306146</v>
      </c>
      <c r="H344" s="18" t="s">
        <v>1984</v>
      </c>
    </row>
    <row r="345" spans="1:8" ht="11" customHeight="1">
      <c r="A345" s="13">
        <v>18</v>
      </c>
      <c r="B345" s="14" t="s">
        <v>1985</v>
      </c>
      <c r="C345" s="14" t="s">
        <v>1986</v>
      </c>
      <c r="D345" s="15" t="s">
        <v>1713</v>
      </c>
      <c r="E345" s="16">
        <v>10502</v>
      </c>
      <c r="F345" s="17" t="s">
        <v>29</v>
      </c>
      <c r="G345" s="17">
        <v>9210376029</v>
      </c>
      <c r="H345" s="18" t="s">
        <v>1987</v>
      </c>
    </row>
    <row r="346" spans="1:8" ht="11" customHeight="1">
      <c r="A346" s="13">
        <v>19</v>
      </c>
      <c r="B346" s="14" t="s">
        <v>1157</v>
      </c>
      <c r="C346" s="14"/>
      <c r="D346" s="15" t="s">
        <v>1988</v>
      </c>
      <c r="E346" s="16">
        <v>6748</v>
      </c>
      <c r="F346" s="17" t="s">
        <v>1989</v>
      </c>
      <c r="G346" s="17">
        <v>9899952456</v>
      </c>
      <c r="H346" s="18" t="s">
        <v>1990</v>
      </c>
    </row>
    <row r="347" spans="1:8" ht="11" customHeight="1">
      <c r="A347" s="13">
        <v>20</v>
      </c>
      <c r="B347" s="14" t="s">
        <v>1991</v>
      </c>
      <c r="C347" s="14" t="s">
        <v>1992</v>
      </c>
      <c r="D347" s="15" t="s">
        <v>1264</v>
      </c>
      <c r="E347" s="16">
        <v>10502</v>
      </c>
      <c r="F347" s="17" t="s">
        <v>29</v>
      </c>
      <c r="G347" s="17"/>
      <c r="H347" s="18" t="s">
        <v>579</v>
      </c>
    </row>
    <row r="348" spans="1:8" ht="11" customHeight="1">
      <c r="A348" s="13">
        <v>21</v>
      </c>
      <c r="B348" s="14" t="s">
        <v>1163</v>
      </c>
      <c r="C348" s="14" t="s">
        <v>1993</v>
      </c>
      <c r="D348" s="15" t="s">
        <v>1994</v>
      </c>
      <c r="E348" s="16">
        <v>5078</v>
      </c>
      <c r="F348" s="17" t="s">
        <v>1995</v>
      </c>
      <c r="G348" s="17">
        <v>9810424061</v>
      </c>
      <c r="H348" s="18" t="s">
        <v>1996</v>
      </c>
    </row>
    <row r="349" spans="1:8" ht="11" customHeight="1">
      <c r="A349" s="13">
        <v>22</v>
      </c>
      <c r="B349" s="14" t="s">
        <v>1965</v>
      </c>
      <c r="C349" s="14" t="s">
        <v>1966</v>
      </c>
      <c r="D349" s="15" t="s">
        <v>2130</v>
      </c>
      <c r="E349" s="16">
        <v>10502</v>
      </c>
      <c r="F349" s="17" t="s">
        <v>29</v>
      </c>
      <c r="G349" s="17">
        <v>9716836004</v>
      </c>
      <c r="H349" s="18" t="s">
        <v>2131</v>
      </c>
    </row>
    <row r="350" spans="1:8" ht="11" customHeight="1">
      <c r="A350" s="13">
        <v>23</v>
      </c>
      <c r="B350" s="14" t="s">
        <v>1180</v>
      </c>
      <c r="C350" s="14" t="s">
        <v>1181</v>
      </c>
      <c r="D350" s="15" t="s">
        <v>244</v>
      </c>
      <c r="E350" s="16">
        <v>10502</v>
      </c>
      <c r="F350" s="17" t="s">
        <v>29</v>
      </c>
      <c r="G350" s="17">
        <v>9891378863</v>
      </c>
      <c r="H350" s="18" t="s">
        <v>1432</v>
      </c>
    </row>
    <row r="351" spans="1:8" ht="11" customHeight="1">
      <c r="A351" s="13">
        <v>24</v>
      </c>
      <c r="B351" s="14" t="s">
        <v>1147</v>
      </c>
      <c r="C351" s="14" t="s">
        <v>1175</v>
      </c>
      <c r="D351" s="15" t="s">
        <v>1176</v>
      </c>
      <c r="E351" s="16">
        <v>10502</v>
      </c>
      <c r="F351" s="17" t="s">
        <v>29</v>
      </c>
      <c r="G351" s="17">
        <v>9899141408</v>
      </c>
      <c r="H351" s="18" t="s">
        <v>2736</v>
      </c>
    </row>
    <row r="352" spans="1:8" ht="11" customHeight="1" thickBot="1">
      <c r="A352" s="13">
        <v>11</v>
      </c>
      <c r="B352" s="14" t="s">
        <v>1184</v>
      </c>
      <c r="C352" s="14" t="s">
        <v>1185</v>
      </c>
      <c r="D352" s="15" t="s">
        <v>297</v>
      </c>
      <c r="E352" s="16">
        <v>10502</v>
      </c>
      <c r="F352" s="17" t="s">
        <v>29</v>
      </c>
      <c r="G352" s="17">
        <v>9868204899</v>
      </c>
      <c r="H352" s="18" t="s">
        <v>1990</v>
      </c>
    </row>
    <row r="353" spans="1:9" ht="11" customHeight="1">
      <c r="A353" s="437">
        <v>10</v>
      </c>
      <c r="B353" s="438" t="s">
        <v>1182</v>
      </c>
      <c r="C353" s="433" t="s">
        <v>1183</v>
      </c>
      <c r="D353" s="601" t="s">
        <v>754</v>
      </c>
      <c r="E353" s="608">
        <v>10502</v>
      </c>
      <c r="F353" s="605" t="s">
        <v>29</v>
      </c>
      <c r="G353" s="439">
        <v>9821483984</v>
      </c>
      <c r="H353" s="440" t="s">
        <v>2949</v>
      </c>
      <c r="I353" s="441"/>
    </row>
    <row r="354" spans="1:9" ht="11" customHeight="1">
      <c r="A354" s="549">
        <v>11</v>
      </c>
      <c r="B354" s="550" t="s">
        <v>1186</v>
      </c>
      <c r="C354" s="42" t="s">
        <v>1187</v>
      </c>
      <c r="D354" s="602" t="s">
        <v>778</v>
      </c>
      <c r="E354" s="609">
        <v>29143</v>
      </c>
      <c r="F354" s="606" t="s">
        <v>29</v>
      </c>
      <c r="G354" s="551">
        <v>9997321615</v>
      </c>
      <c r="H354" s="552" t="s">
        <v>1371</v>
      </c>
      <c r="I354" s="553"/>
    </row>
    <row r="355" spans="1:9" ht="11" customHeight="1">
      <c r="A355" s="13"/>
      <c r="B355" s="14"/>
      <c r="C355" s="14"/>
      <c r="D355" s="15"/>
      <c r="E355" s="16"/>
      <c r="F355" s="17"/>
      <c r="G355" s="17"/>
      <c r="H355" s="18"/>
    </row>
    <row r="356" spans="1:9" ht="11" customHeight="1">
      <c r="A356" s="421">
        <v>25</v>
      </c>
      <c r="B356" s="593" t="s">
        <v>2899</v>
      </c>
      <c r="C356" s="194" t="s">
        <v>2898</v>
      </c>
      <c r="D356" s="279" t="s">
        <v>2896</v>
      </c>
      <c r="E356" s="280">
        <v>2781</v>
      </c>
      <c r="F356" s="282" t="s">
        <v>2897</v>
      </c>
      <c r="G356" s="282">
        <v>9810958879</v>
      </c>
      <c r="H356" s="283" t="s">
        <v>2895</v>
      </c>
      <c r="I356" s="300"/>
    </row>
    <row r="357" spans="1:9" ht="11" customHeight="1" thickBot="1">
      <c r="A357" s="13"/>
      <c r="B357" s="14"/>
      <c r="C357" s="14"/>
      <c r="D357" s="15"/>
      <c r="E357" s="16"/>
      <c r="F357" s="17"/>
      <c r="G357" s="17"/>
      <c r="H357" s="18"/>
    </row>
    <row r="358" spans="1:9" s="3" customFormat="1" ht="11" customHeight="1">
      <c r="A358" s="437">
        <v>11</v>
      </c>
      <c r="B358" s="438" t="s">
        <v>1189</v>
      </c>
      <c r="C358" s="433" t="s">
        <v>1190</v>
      </c>
      <c r="D358" s="601" t="s">
        <v>804</v>
      </c>
      <c r="E358" s="608">
        <v>29143</v>
      </c>
      <c r="F358" s="605" t="s">
        <v>29</v>
      </c>
      <c r="G358" s="439">
        <v>8527855739</v>
      </c>
      <c r="H358" s="440" t="s">
        <v>14</v>
      </c>
      <c r="I358" s="441" t="s">
        <v>3061</v>
      </c>
    </row>
    <row r="359" spans="1:9" ht="11" customHeight="1">
      <c r="A359" s="13"/>
      <c r="B359" s="14"/>
      <c r="C359" s="14"/>
      <c r="D359" s="15"/>
      <c r="E359" s="16"/>
      <c r="F359" s="17"/>
      <c r="G359" s="17"/>
      <c r="H359" s="18"/>
    </row>
    <row r="360" spans="1:9" s="3" customFormat="1" ht="11" customHeight="1" thickBot="1">
      <c r="A360" s="611">
        <v>14</v>
      </c>
      <c r="B360" s="612" t="s">
        <v>1193</v>
      </c>
      <c r="C360" s="592" t="s">
        <v>1194</v>
      </c>
      <c r="D360" s="603" t="s">
        <v>832</v>
      </c>
      <c r="E360" s="613">
        <v>29143</v>
      </c>
      <c r="F360" s="614" t="s">
        <v>29</v>
      </c>
      <c r="G360" s="615">
        <v>8006958006</v>
      </c>
      <c r="H360" s="616" t="s">
        <v>1195</v>
      </c>
      <c r="I360" s="617"/>
    </row>
    <row r="361" spans="1:9" ht="11" customHeight="1">
      <c r="A361" s="13"/>
      <c r="B361" s="14"/>
      <c r="C361" s="14"/>
      <c r="D361" s="15"/>
      <c r="E361" s="16"/>
      <c r="F361" s="17"/>
      <c r="G361" s="17"/>
      <c r="H361" s="18"/>
    </row>
    <row r="362" spans="1:9" ht="11" customHeight="1">
      <c r="A362" s="889">
        <v>6</v>
      </c>
      <c r="B362" s="928" t="s">
        <v>545</v>
      </c>
      <c r="C362" s="890" t="s">
        <v>2096</v>
      </c>
      <c r="D362" s="891" t="s">
        <v>551</v>
      </c>
      <c r="E362" s="892">
        <v>19235</v>
      </c>
      <c r="F362" s="893" t="s">
        <v>13</v>
      </c>
      <c r="G362" s="894">
        <v>7028012721</v>
      </c>
      <c r="H362" s="894" t="s">
        <v>1717</v>
      </c>
      <c r="I362" s="929"/>
    </row>
    <row r="363" spans="1:9" ht="11" customHeight="1">
      <c r="A363" s="13"/>
      <c r="B363" s="14"/>
      <c r="C363" s="14"/>
      <c r="D363" s="15"/>
      <c r="E363" s="16"/>
      <c r="F363" s="17"/>
      <c r="G363" s="17"/>
      <c r="H363" s="18"/>
    </row>
    <row r="364" spans="1:9" ht="11" customHeight="1">
      <c r="A364" s="13"/>
      <c r="B364" s="14"/>
      <c r="C364" s="14"/>
      <c r="D364" s="15"/>
      <c r="E364" s="16"/>
      <c r="F364" s="17"/>
      <c r="G364" s="17"/>
      <c r="H364" s="18"/>
    </row>
    <row r="365" spans="1:9" ht="11" customHeight="1">
      <c r="A365" s="13"/>
      <c r="B365" s="14"/>
      <c r="C365" s="14"/>
      <c r="D365" s="15"/>
      <c r="E365" s="16"/>
      <c r="F365" s="17"/>
      <c r="G365" s="17"/>
      <c r="H365" s="18"/>
    </row>
    <row r="366" spans="1:9" ht="11" customHeight="1">
      <c r="A366" s="13"/>
      <c r="B366" s="14"/>
      <c r="C366" s="14"/>
      <c r="D366" s="15"/>
      <c r="E366" s="16"/>
      <c r="F366" s="17"/>
      <c r="G366" s="17"/>
      <c r="H366" s="18"/>
    </row>
    <row r="367" spans="1:9" ht="11" customHeight="1" thickBot="1">
      <c r="A367" s="13"/>
      <c r="B367" s="14"/>
      <c r="C367" s="14"/>
      <c r="D367" s="15"/>
      <c r="E367" s="16"/>
      <c r="F367" s="17"/>
      <c r="G367" s="17"/>
      <c r="H367" s="18"/>
    </row>
    <row r="368" spans="1:9" ht="11" customHeight="1" thickBot="1">
      <c r="A368" s="1212" t="s">
        <v>1997</v>
      </c>
      <c r="B368" s="1213"/>
      <c r="C368" s="1213"/>
      <c r="D368" s="1213"/>
      <c r="E368" s="1213"/>
      <c r="F368" s="1213"/>
      <c r="G368" s="1213"/>
      <c r="H368" s="1214"/>
    </row>
    <row r="369" spans="1:8" ht="11" customHeight="1">
      <c r="A369" s="13">
        <v>1</v>
      </c>
      <c r="B369" s="14" t="s">
        <v>1157</v>
      </c>
      <c r="C369" s="14" t="s">
        <v>1998</v>
      </c>
      <c r="D369" s="15" t="s">
        <v>1999</v>
      </c>
      <c r="E369" s="16">
        <v>1633</v>
      </c>
      <c r="F369" s="17" t="s">
        <v>2000</v>
      </c>
      <c r="G369" s="17">
        <v>9899952456</v>
      </c>
      <c r="H369" s="18"/>
    </row>
    <row r="370" spans="1:8" ht="11" customHeight="1">
      <c r="A370" s="13">
        <v>2</v>
      </c>
      <c r="B370" s="14" t="s">
        <v>2001</v>
      </c>
      <c r="C370" s="14" t="s">
        <v>2002</v>
      </c>
      <c r="D370" s="15" t="s">
        <v>1548</v>
      </c>
      <c r="E370" s="16">
        <v>19492</v>
      </c>
      <c r="F370" s="17" t="s">
        <v>17</v>
      </c>
      <c r="G370" s="17">
        <v>9971766108</v>
      </c>
      <c r="H370" s="18" t="s">
        <v>1432</v>
      </c>
    </row>
    <row r="371" spans="1:8" ht="11" customHeight="1">
      <c r="A371" s="13">
        <v>3</v>
      </c>
      <c r="B371" s="14" t="s">
        <v>2003</v>
      </c>
      <c r="C371" s="14" t="s">
        <v>2004</v>
      </c>
      <c r="D371" s="15" t="s">
        <v>1563</v>
      </c>
      <c r="E371" s="16">
        <v>4354</v>
      </c>
      <c r="F371" s="17" t="s">
        <v>1989</v>
      </c>
      <c r="G371" s="17">
        <v>9873352585</v>
      </c>
      <c r="H371" s="18"/>
    </row>
    <row r="372" spans="1:8" ht="11" customHeight="1">
      <c r="A372" s="13">
        <v>4</v>
      </c>
      <c r="B372" s="14" t="s">
        <v>986</v>
      </c>
      <c r="C372" s="14" t="s">
        <v>2005</v>
      </c>
      <c r="D372" s="15" t="s">
        <v>2006</v>
      </c>
      <c r="E372" s="16">
        <v>1633</v>
      </c>
      <c r="F372" s="17" t="s">
        <v>2000</v>
      </c>
      <c r="G372" s="17">
        <v>9999119240</v>
      </c>
      <c r="H372" s="18"/>
    </row>
    <row r="373" spans="1:8" ht="11" customHeight="1">
      <c r="A373" s="13">
        <v>5</v>
      </c>
      <c r="B373" s="14" t="s">
        <v>2007</v>
      </c>
      <c r="C373" s="14" t="s">
        <v>2008</v>
      </c>
      <c r="D373" s="15" t="s">
        <v>2009</v>
      </c>
      <c r="E373" s="16">
        <v>1633</v>
      </c>
      <c r="F373" s="17" t="s">
        <v>2000</v>
      </c>
      <c r="G373" s="17">
        <v>9968220220</v>
      </c>
      <c r="H373" s="18" t="s">
        <v>986</v>
      </c>
    </row>
    <row r="374" spans="1:8" ht="11" customHeight="1">
      <c r="A374" s="13">
        <v>6</v>
      </c>
      <c r="B374" s="14" t="s">
        <v>2010</v>
      </c>
      <c r="C374" s="14" t="s">
        <v>2011</v>
      </c>
      <c r="D374" s="15" t="s">
        <v>1772</v>
      </c>
      <c r="E374" s="16">
        <v>1633</v>
      </c>
      <c r="F374" s="17" t="s">
        <v>2000</v>
      </c>
      <c r="G374" s="17">
        <v>9899073249</v>
      </c>
      <c r="H374" s="18"/>
    </row>
    <row r="375" spans="1:8" ht="11" customHeight="1">
      <c r="A375" s="13">
        <v>7</v>
      </c>
      <c r="B375" s="14" t="s">
        <v>2012</v>
      </c>
      <c r="C375" s="14" t="s">
        <v>2013</v>
      </c>
      <c r="D375" s="15" t="s">
        <v>2014</v>
      </c>
      <c r="E375" s="16">
        <v>15196</v>
      </c>
      <c r="F375" s="17" t="s">
        <v>17</v>
      </c>
      <c r="G375" s="17">
        <v>9810246109</v>
      </c>
      <c r="H375" s="18"/>
    </row>
    <row r="376" spans="1:8" ht="11" customHeight="1">
      <c r="A376" s="13">
        <v>8</v>
      </c>
      <c r="B376" s="14" t="s">
        <v>2015</v>
      </c>
      <c r="C376" s="14" t="s">
        <v>2016</v>
      </c>
      <c r="D376" s="15" t="s">
        <v>1592</v>
      </c>
      <c r="E376" s="16">
        <v>7927</v>
      </c>
      <c r="F376" s="17" t="s">
        <v>17</v>
      </c>
      <c r="G376" s="17">
        <v>9278480622</v>
      </c>
      <c r="H376" s="18" t="s">
        <v>956</v>
      </c>
    </row>
    <row r="377" spans="1:8" ht="11" customHeight="1">
      <c r="A377" s="13">
        <v>9</v>
      </c>
      <c r="B377" s="14" t="s">
        <v>2017</v>
      </c>
      <c r="C377" s="14" t="s">
        <v>2018</v>
      </c>
      <c r="D377" s="15" t="s">
        <v>2019</v>
      </c>
      <c r="E377" s="16">
        <v>22355</v>
      </c>
      <c r="F377" s="17" t="s">
        <v>17</v>
      </c>
      <c r="G377" s="17">
        <v>7568736906</v>
      </c>
      <c r="H377" s="18" t="s">
        <v>2020</v>
      </c>
    </row>
    <row r="378" spans="1:8" ht="11" customHeight="1">
      <c r="A378" s="13">
        <v>10</v>
      </c>
      <c r="B378" s="14" t="s">
        <v>2021</v>
      </c>
      <c r="C378" s="14" t="s">
        <v>2022</v>
      </c>
      <c r="D378" s="15" t="s">
        <v>1443</v>
      </c>
      <c r="E378" s="16">
        <v>18598</v>
      </c>
      <c r="F378" s="17" t="s">
        <v>17</v>
      </c>
      <c r="G378" s="17">
        <v>8076805587</v>
      </c>
      <c r="H378" s="18" t="s">
        <v>1105</v>
      </c>
    </row>
    <row r="379" spans="1:8" ht="11" customHeight="1">
      <c r="A379" s="13">
        <v>11</v>
      </c>
      <c r="B379" s="14" t="s">
        <v>2023</v>
      </c>
      <c r="C379" s="14" t="s">
        <v>2024</v>
      </c>
      <c r="D379" s="15" t="s">
        <v>2025</v>
      </c>
      <c r="E379" s="16">
        <v>24742</v>
      </c>
      <c r="F379" s="17" t="s">
        <v>24</v>
      </c>
      <c r="G379" s="17">
        <v>9962062679</v>
      </c>
      <c r="H379" s="18" t="s">
        <v>2026</v>
      </c>
    </row>
    <row r="380" spans="1:8" ht="11" customHeight="1">
      <c r="A380" s="13">
        <v>12</v>
      </c>
      <c r="B380" s="14" t="s">
        <v>2027</v>
      </c>
      <c r="C380" s="14" t="s">
        <v>2028</v>
      </c>
      <c r="D380" s="15" t="s">
        <v>1811</v>
      </c>
      <c r="E380" s="16">
        <v>6418</v>
      </c>
      <c r="F380" s="17" t="s">
        <v>17</v>
      </c>
      <c r="G380" s="17"/>
      <c r="H380" s="18" t="s">
        <v>2029</v>
      </c>
    </row>
    <row r="381" spans="1:8" ht="11" customHeight="1">
      <c r="A381" s="13">
        <v>13</v>
      </c>
      <c r="B381" s="14" t="s">
        <v>2030</v>
      </c>
      <c r="C381" s="14" t="s">
        <v>2031</v>
      </c>
      <c r="D381" s="15" t="s">
        <v>2032</v>
      </c>
      <c r="E381" s="16">
        <v>15575</v>
      </c>
      <c r="F381" s="17" t="s">
        <v>29</v>
      </c>
      <c r="G381" s="17">
        <v>9818009604</v>
      </c>
      <c r="H381" s="18" t="s">
        <v>2029</v>
      </c>
    </row>
    <row r="382" spans="1:8" ht="11" customHeight="1">
      <c r="A382" s="13">
        <v>14</v>
      </c>
      <c r="B382" s="14" t="s">
        <v>2033</v>
      </c>
      <c r="C382" s="14" t="s">
        <v>2034</v>
      </c>
      <c r="D382" s="15" t="s">
        <v>1909</v>
      </c>
      <c r="E382" s="16">
        <v>27542</v>
      </c>
      <c r="F382" s="17" t="s">
        <v>17</v>
      </c>
      <c r="G382" s="17">
        <v>9811019625</v>
      </c>
      <c r="H382" s="18" t="s">
        <v>2029</v>
      </c>
    </row>
    <row r="383" spans="1:8" ht="11" customHeight="1">
      <c r="A383" s="13">
        <v>15</v>
      </c>
      <c r="B383" s="14" t="s">
        <v>2035</v>
      </c>
      <c r="C383" s="14" t="s">
        <v>2036</v>
      </c>
      <c r="D383" s="15" t="s">
        <v>2037</v>
      </c>
      <c r="E383" s="16">
        <v>9978</v>
      </c>
      <c r="F383" s="17" t="s">
        <v>2038</v>
      </c>
      <c r="G383" s="17">
        <v>9810562337</v>
      </c>
      <c r="H383" s="18" t="s">
        <v>2039</v>
      </c>
    </row>
    <row r="384" spans="1:8" ht="11" customHeight="1">
      <c r="A384" s="13">
        <v>16</v>
      </c>
      <c r="B384" s="14" t="s">
        <v>2040</v>
      </c>
      <c r="C384" s="14" t="s">
        <v>2041</v>
      </c>
      <c r="D384" s="15" t="s">
        <v>2042</v>
      </c>
      <c r="E384" s="16">
        <v>40921</v>
      </c>
      <c r="F384" s="17" t="s">
        <v>29</v>
      </c>
      <c r="G384" s="17">
        <v>9810812274</v>
      </c>
      <c r="H384" s="18" t="s">
        <v>2043</v>
      </c>
    </row>
    <row r="385" spans="1:8" ht="11" customHeight="1">
      <c r="A385" s="13">
        <v>17</v>
      </c>
      <c r="B385" s="14" t="s">
        <v>2044</v>
      </c>
      <c r="C385" s="14" t="s">
        <v>2045</v>
      </c>
      <c r="D385" s="15" t="s">
        <v>1464</v>
      </c>
      <c r="E385" s="16">
        <v>13098</v>
      </c>
      <c r="F385" s="17" t="s">
        <v>13</v>
      </c>
      <c r="G385" s="17">
        <v>9958989586</v>
      </c>
      <c r="H385" s="18" t="s">
        <v>2046</v>
      </c>
    </row>
    <row r="386" spans="1:8" ht="11" customHeight="1">
      <c r="A386" s="13">
        <v>18</v>
      </c>
      <c r="B386" s="14" t="s">
        <v>2047</v>
      </c>
      <c r="C386" s="14" t="s">
        <v>2048</v>
      </c>
      <c r="D386" s="15" t="s">
        <v>2049</v>
      </c>
      <c r="E386" s="16">
        <v>20463</v>
      </c>
      <c r="F386" s="17" t="s">
        <v>29</v>
      </c>
      <c r="G386" s="17">
        <v>9899660163</v>
      </c>
      <c r="H386" s="18" t="s">
        <v>2050</v>
      </c>
    </row>
    <row r="387" spans="1:8" ht="11" customHeight="1">
      <c r="A387" s="13">
        <v>19</v>
      </c>
      <c r="B387" s="14" t="s">
        <v>2051</v>
      </c>
      <c r="C387" s="14" t="s">
        <v>2052</v>
      </c>
      <c r="D387" s="15" t="s">
        <v>218</v>
      </c>
      <c r="E387" s="16">
        <v>6765</v>
      </c>
      <c r="F387" s="17" t="s">
        <v>29</v>
      </c>
      <c r="G387" s="17">
        <v>9999666028</v>
      </c>
      <c r="H387" s="18" t="s">
        <v>2053</v>
      </c>
    </row>
    <row r="388" spans="1:8" ht="11" customHeight="1">
      <c r="A388" s="13">
        <v>20</v>
      </c>
      <c r="B388" s="14" t="s">
        <v>1156</v>
      </c>
      <c r="C388" s="14" t="s">
        <v>2054</v>
      </c>
      <c r="D388" s="15" t="s">
        <v>2055</v>
      </c>
      <c r="E388" s="16">
        <v>13065</v>
      </c>
      <c r="F388" s="17" t="s">
        <v>29</v>
      </c>
      <c r="G388" s="17">
        <v>8826610553</v>
      </c>
      <c r="H388" s="18" t="s">
        <v>1703</v>
      </c>
    </row>
    <row r="389" spans="1:8" ht="11" customHeight="1">
      <c r="A389" s="13">
        <v>21</v>
      </c>
      <c r="B389" s="14" t="s">
        <v>2056</v>
      </c>
      <c r="C389" s="14" t="s">
        <v>2057</v>
      </c>
      <c r="D389" s="15" t="s">
        <v>2058</v>
      </c>
      <c r="E389" s="16">
        <v>36672</v>
      </c>
      <c r="F389" s="17" t="s">
        <v>29</v>
      </c>
      <c r="G389" s="17">
        <v>9818086104</v>
      </c>
      <c r="H389" s="18" t="s">
        <v>2059</v>
      </c>
    </row>
    <row r="390" spans="1:8" ht="11" customHeight="1">
      <c r="A390" s="13">
        <v>22</v>
      </c>
      <c r="B390" s="14" t="s">
        <v>2060</v>
      </c>
      <c r="C390" s="14" t="s">
        <v>2061</v>
      </c>
      <c r="D390" s="15" t="s">
        <v>2058</v>
      </c>
      <c r="E390" s="16">
        <v>29604</v>
      </c>
      <c r="F390" s="17" t="s">
        <v>29</v>
      </c>
      <c r="G390" s="17">
        <v>7827274993</v>
      </c>
      <c r="H390" s="18" t="s">
        <v>2062</v>
      </c>
    </row>
    <row r="391" spans="1:8" ht="11" customHeight="1">
      <c r="A391" s="13">
        <v>23</v>
      </c>
      <c r="B391" s="14" t="s">
        <v>2063</v>
      </c>
      <c r="C391" s="14" t="s">
        <v>2064</v>
      </c>
      <c r="D391" s="15" t="s">
        <v>1275</v>
      </c>
      <c r="E391" s="16">
        <v>28864</v>
      </c>
      <c r="F391" s="17" t="s">
        <v>17</v>
      </c>
      <c r="G391" s="17">
        <v>9354212306</v>
      </c>
      <c r="H391" s="18" t="s">
        <v>2065</v>
      </c>
    </row>
    <row r="392" spans="1:8" ht="11" customHeight="1">
      <c r="A392" s="13">
        <v>24</v>
      </c>
      <c r="B392" s="14" t="s">
        <v>2066</v>
      </c>
      <c r="C392" s="14" t="s">
        <v>2067</v>
      </c>
      <c r="D392" s="15" t="s">
        <v>2068</v>
      </c>
      <c r="E392" s="16">
        <v>13756</v>
      </c>
      <c r="F392" s="17" t="s">
        <v>17</v>
      </c>
      <c r="G392" s="17">
        <v>9936907413</v>
      </c>
      <c r="H392" s="18" t="s">
        <v>2069</v>
      </c>
    </row>
    <row r="393" spans="1:8" ht="11" customHeight="1">
      <c r="A393" s="13">
        <v>25</v>
      </c>
      <c r="B393" s="14" t="s">
        <v>2070</v>
      </c>
      <c r="C393" s="14" t="s">
        <v>2071</v>
      </c>
      <c r="D393" s="15" t="s">
        <v>2072</v>
      </c>
      <c r="E393" s="16">
        <v>4159</v>
      </c>
      <c r="F393" s="17" t="s">
        <v>69</v>
      </c>
      <c r="G393" s="17">
        <v>9773625296</v>
      </c>
      <c r="H393" s="18" t="s">
        <v>2020</v>
      </c>
    </row>
    <row r="394" spans="1:8" ht="11" customHeight="1">
      <c r="A394" s="13">
        <v>26</v>
      </c>
      <c r="B394" s="14" t="s">
        <v>2073</v>
      </c>
      <c r="C394" s="14" t="s">
        <v>2074</v>
      </c>
      <c r="D394" s="15" t="s">
        <v>2075</v>
      </c>
      <c r="E394" s="16">
        <v>4778</v>
      </c>
      <c r="F394" s="17" t="s">
        <v>69</v>
      </c>
      <c r="G394" s="17">
        <v>9205115215</v>
      </c>
      <c r="H394" s="18" t="s">
        <v>2076</v>
      </c>
    </row>
    <row r="395" spans="1:8" ht="11" customHeight="1">
      <c r="A395" s="13">
        <v>27</v>
      </c>
      <c r="B395" s="14" t="s">
        <v>2077</v>
      </c>
      <c r="C395" s="14" t="s">
        <v>2078</v>
      </c>
      <c r="D395" s="15" t="s">
        <v>2079</v>
      </c>
      <c r="E395" s="16">
        <v>39739</v>
      </c>
      <c r="F395" s="17" t="s">
        <v>17</v>
      </c>
      <c r="G395" s="17">
        <v>9999770643</v>
      </c>
      <c r="H395" s="18" t="s">
        <v>579</v>
      </c>
    </row>
    <row r="396" spans="1:8" ht="11" customHeight="1">
      <c r="A396" s="13">
        <v>28</v>
      </c>
      <c r="B396" s="14" t="s">
        <v>1241</v>
      </c>
      <c r="C396" s="14" t="s">
        <v>1242</v>
      </c>
      <c r="D396" s="15" t="s">
        <v>1243</v>
      </c>
      <c r="E396" s="16">
        <v>20961</v>
      </c>
      <c r="F396" s="17" t="s">
        <v>17</v>
      </c>
      <c r="G396" s="17">
        <v>9871701879</v>
      </c>
      <c r="H396" s="18" t="s">
        <v>1244</v>
      </c>
    </row>
    <row r="397" spans="1:8" ht="11" customHeight="1">
      <c r="A397" s="13">
        <v>29</v>
      </c>
      <c r="B397" s="14" t="s">
        <v>545</v>
      </c>
      <c r="C397" s="14" t="s">
        <v>1259</v>
      </c>
      <c r="D397" s="15" t="s">
        <v>1260</v>
      </c>
      <c r="E397" s="16">
        <v>1834</v>
      </c>
      <c r="F397" s="17" t="s">
        <v>1261</v>
      </c>
      <c r="G397" s="17">
        <v>7028012721</v>
      </c>
      <c r="H397" s="18" t="s">
        <v>196</v>
      </c>
    </row>
    <row r="398" spans="1:8" ht="11" customHeight="1">
      <c r="A398" s="13">
        <v>30</v>
      </c>
      <c r="B398" s="14" t="s">
        <v>1262</v>
      </c>
      <c r="C398" s="14" t="s">
        <v>1263</v>
      </c>
      <c r="D398" s="15" t="s">
        <v>1264</v>
      </c>
      <c r="E398" s="16">
        <v>8441</v>
      </c>
      <c r="F398" s="17"/>
      <c r="G398" s="17">
        <v>9811944477</v>
      </c>
      <c r="H398" s="18" t="s">
        <v>1265</v>
      </c>
    </row>
    <row r="399" spans="1:8" ht="11" customHeight="1">
      <c r="A399" s="13">
        <v>31</v>
      </c>
      <c r="B399" s="14" t="s">
        <v>1250</v>
      </c>
      <c r="C399" s="14" t="s">
        <v>1251</v>
      </c>
      <c r="D399" s="15" t="s">
        <v>519</v>
      </c>
      <c r="E399" s="16">
        <v>51123</v>
      </c>
      <c r="F399" s="17" t="s">
        <v>24</v>
      </c>
      <c r="G399" s="17">
        <v>9910477188</v>
      </c>
      <c r="H399" s="18"/>
    </row>
    <row r="400" spans="1:8" ht="11" customHeight="1">
      <c r="A400" s="13">
        <v>32</v>
      </c>
      <c r="B400" s="14" t="s">
        <v>1253</v>
      </c>
      <c r="C400" s="14" t="s">
        <v>1254</v>
      </c>
      <c r="D400" s="15" t="s">
        <v>1255</v>
      </c>
      <c r="E400" s="16">
        <v>24648</v>
      </c>
      <c r="F400" s="17" t="s">
        <v>69</v>
      </c>
      <c r="G400" s="17">
        <v>9762375225</v>
      </c>
      <c r="H400" s="18" t="s">
        <v>1256</v>
      </c>
    </row>
    <row r="401" spans="1:10" ht="11" customHeight="1">
      <c r="A401" s="13">
        <v>33</v>
      </c>
      <c r="B401" s="14" t="s">
        <v>1257</v>
      </c>
      <c r="C401" s="14" t="s">
        <v>1258</v>
      </c>
      <c r="D401" s="15" t="s">
        <v>216</v>
      </c>
      <c r="E401" s="16">
        <v>13805</v>
      </c>
      <c r="F401" s="17" t="s">
        <v>29</v>
      </c>
      <c r="G401" s="17">
        <v>9709438432</v>
      </c>
      <c r="H401" s="18" t="s">
        <v>2613</v>
      </c>
    </row>
    <row r="402" spans="1:10" ht="11" customHeight="1">
      <c r="A402" s="13">
        <v>34</v>
      </c>
      <c r="B402" s="14" t="s">
        <v>2202</v>
      </c>
      <c r="C402" s="14" t="s">
        <v>2201</v>
      </c>
      <c r="D402" s="15" t="s">
        <v>248</v>
      </c>
      <c r="E402" s="16">
        <v>2669</v>
      </c>
      <c r="F402" s="17" t="s">
        <v>1006</v>
      </c>
      <c r="G402" s="17">
        <v>9075039301</v>
      </c>
      <c r="H402" s="18" t="s">
        <v>2203</v>
      </c>
    </row>
    <row r="403" spans="1:10" ht="11" customHeight="1">
      <c r="A403" s="13">
        <v>2</v>
      </c>
      <c r="B403" s="14" t="s">
        <v>1237</v>
      </c>
      <c r="C403" s="14" t="s">
        <v>1238</v>
      </c>
      <c r="D403" s="15" t="s">
        <v>921</v>
      </c>
      <c r="E403" s="16">
        <v>27793</v>
      </c>
      <c r="F403" s="17" t="s">
        <v>17</v>
      </c>
      <c r="G403" s="17">
        <v>8800228876</v>
      </c>
      <c r="H403" s="18" t="s">
        <v>428</v>
      </c>
    </row>
    <row r="404" spans="1:10" ht="11" customHeight="1">
      <c r="A404" s="13">
        <v>3</v>
      </c>
      <c r="B404" s="14" t="s">
        <v>1239</v>
      </c>
      <c r="C404" s="14" t="s">
        <v>1240</v>
      </c>
      <c r="D404" s="15" t="s">
        <v>51</v>
      </c>
      <c r="E404" s="16">
        <v>6831</v>
      </c>
      <c r="F404" s="17" t="s">
        <v>17</v>
      </c>
      <c r="G404" s="17">
        <v>8800228876</v>
      </c>
      <c r="H404" s="18" t="s">
        <v>428</v>
      </c>
    </row>
    <row r="405" spans="1:10" s="3" customFormat="1" ht="40" customHeight="1">
      <c r="A405" s="862">
        <v>4</v>
      </c>
      <c r="B405" s="595" t="s">
        <v>1247</v>
      </c>
      <c r="C405" s="863" t="s">
        <v>1248</v>
      </c>
      <c r="D405" s="906" t="s">
        <v>1249</v>
      </c>
      <c r="E405" s="913">
        <v>45145</v>
      </c>
      <c r="F405" s="910" t="s">
        <v>29</v>
      </c>
      <c r="G405" s="861">
        <v>9717826170</v>
      </c>
      <c r="H405" s="864" t="s">
        <v>1437</v>
      </c>
    </row>
    <row r="406" spans="1:10" ht="11" customHeight="1">
      <c r="A406" s="13"/>
      <c r="B406" s="14"/>
      <c r="C406" s="14"/>
      <c r="D406" s="15"/>
      <c r="E406" s="16"/>
      <c r="F406" s="17"/>
      <c r="G406" s="17"/>
      <c r="H406" s="18"/>
    </row>
    <row r="407" spans="1:10" ht="11" customHeight="1">
      <c r="A407" s="13"/>
      <c r="B407" s="14"/>
      <c r="C407" s="14"/>
      <c r="D407" s="15"/>
      <c r="E407" s="16"/>
      <c r="F407" s="17"/>
      <c r="G407" s="17"/>
      <c r="H407" s="18"/>
    </row>
    <row r="408" spans="1:10" ht="11" customHeight="1">
      <c r="A408" s="13"/>
      <c r="B408" s="14"/>
      <c r="C408" s="14"/>
      <c r="D408" s="15"/>
      <c r="E408" s="16"/>
      <c r="F408" s="17"/>
      <c r="G408" s="17"/>
      <c r="H408" s="18"/>
    </row>
    <row r="409" spans="1:10" ht="11" customHeight="1">
      <c r="A409" s="13"/>
      <c r="B409" s="14"/>
      <c r="C409" s="14"/>
      <c r="D409" s="15"/>
      <c r="E409" s="16"/>
      <c r="F409" s="17"/>
      <c r="G409" s="17"/>
      <c r="H409" s="18"/>
    </row>
    <row r="410" spans="1:10" ht="11" customHeight="1">
      <c r="A410" s="13"/>
      <c r="B410" s="14"/>
      <c r="C410" s="14"/>
      <c r="D410" s="15"/>
      <c r="E410" s="16"/>
      <c r="F410" s="17"/>
      <c r="G410" s="17"/>
      <c r="H410" s="18"/>
    </row>
    <row r="411" spans="1:10" ht="11" customHeight="1">
      <c r="A411" s="13"/>
      <c r="B411" s="14"/>
      <c r="C411" s="14"/>
      <c r="D411" s="15"/>
      <c r="E411" s="16"/>
      <c r="F411" s="17"/>
      <c r="G411" s="17"/>
      <c r="H411" s="18"/>
    </row>
    <row r="412" spans="1:10" ht="11" customHeight="1">
      <c r="A412" s="13"/>
      <c r="B412" s="14"/>
      <c r="C412" s="14"/>
      <c r="D412" s="15"/>
      <c r="E412" s="16"/>
      <c r="F412" s="17"/>
      <c r="G412" s="17"/>
      <c r="H412" s="18"/>
    </row>
    <row r="413" spans="1:10" ht="11" customHeight="1">
      <c r="A413" s="13"/>
      <c r="B413" s="14"/>
      <c r="C413" s="14"/>
      <c r="D413" s="15"/>
      <c r="E413" s="16"/>
      <c r="F413" s="17"/>
      <c r="G413" s="17"/>
      <c r="H413" s="18"/>
    </row>
    <row r="414" spans="1:10" ht="11" customHeight="1">
      <c r="A414" s="13"/>
      <c r="B414" s="14"/>
      <c r="C414" s="14"/>
      <c r="D414" s="15"/>
      <c r="E414" s="16"/>
      <c r="F414" s="17"/>
      <c r="G414" s="17"/>
      <c r="H414" s="18"/>
    </row>
    <row r="415" spans="1:10" ht="11" customHeight="1" thickBot="1">
      <c r="A415" s="13"/>
      <c r="B415" s="14"/>
      <c r="C415" s="14"/>
      <c r="D415" s="15"/>
      <c r="E415" s="16"/>
      <c r="F415" s="17"/>
      <c r="G415" s="17"/>
      <c r="H415" s="18"/>
    </row>
    <row r="416" spans="1:10" s="1" customFormat="1" ht="11" customHeight="1" thickBot="1">
      <c r="A416" s="1193" t="s">
        <v>1268</v>
      </c>
      <c r="B416" s="1194"/>
      <c r="C416" s="1194"/>
      <c r="D416" s="1194"/>
      <c r="E416" s="1194"/>
      <c r="F416" s="1194"/>
      <c r="G416" s="1194"/>
      <c r="H416" s="1194"/>
      <c r="I416" s="1194"/>
      <c r="J416" s="1195"/>
    </row>
    <row r="417" spans="1:10" ht="11" customHeight="1">
      <c r="A417" s="13">
        <v>1</v>
      </c>
      <c r="B417" s="14" t="s">
        <v>2080</v>
      </c>
      <c r="C417" s="14">
        <v>24851526</v>
      </c>
      <c r="D417" s="15" t="s">
        <v>2081</v>
      </c>
      <c r="E417" s="16" t="s">
        <v>2082</v>
      </c>
      <c r="F417" s="17">
        <v>102250</v>
      </c>
      <c r="G417" s="17">
        <v>1060000</v>
      </c>
      <c r="H417" s="18" t="s">
        <v>2083</v>
      </c>
    </row>
    <row r="418" spans="1:10" ht="11" customHeight="1">
      <c r="A418" s="13">
        <v>2</v>
      </c>
      <c r="B418" s="14" t="s">
        <v>2084</v>
      </c>
      <c r="C418" s="14">
        <v>26890956</v>
      </c>
      <c r="D418" s="15" t="s">
        <v>2081</v>
      </c>
      <c r="E418" s="16" t="s">
        <v>2085</v>
      </c>
      <c r="F418" s="17">
        <v>9928</v>
      </c>
      <c r="G418" s="17">
        <v>401965</v>
      </c>
      <c r="H418" s="18"/>
    </row>
    <row r="419" spans="1:10" ht="11" customHeight="1">
      <c r="A419" s="13">
        <v>3</v>
      </c>
      <c r="B419" s="14"/>
      <c r="C419" s="14"/>
      <c r="D419" s="15"/>
      <c r="E419" s="16"/>
      <c r="F419" s="17"/>
      <c r="G419" s="17"/>
      <c r="H419" s="18"/>
    </row>
    <row r="420" spans="1:10" ht="11" customHeight="1">
      <c r="A420" s="13">
        <v>4</v>
      </c>
      <c r="B420" s="14"/>
      <c r="C420" s="14"/>
      <c r="D420" s="15"/>
      <c r="E420" s="16"/>
      <c r="F420" s="17"/>
      <c r="G420" s="17"/>
      <c r="H420" s="18"/>
    </row>
    <row r="421" spans="1:10" ht="11" customHeight="1">
      <c r="A421" s="13">
        <v>5</v>
      </c>
      <c r="B421" s="14"/>
      <c r="C421" s="14"/>
      <c r="D421" s="15"/>
      <c r="E421" s="16"/>
      <c r="F421" s="17"/>
      <c r="G421" s="17"/>
      <c r="H421" s="18"/>
    </row>
    <row r="422" spans="1:10" ht="11" customHeight="1">
      <c r="A422" s="13">
        <v>6</v>
      </c>
      <c r="B422" s="14"/>
      <c r="C422" s="14"/>
      <c r="D422" s="15"/>
      <c r="E422" s="16"/>
      <c r="F422" s="17"/>
      <c r="G422" s="17"/>
      <c r="H422" s="18"/>
    </row>
    <row r="423" spans="1:10" ht="11" customHeight="1">
      <c r="A423" s="13">
        <v>7</v>
      </c>
      <c r="B423" s="14"/>
      <c r="C423" s="14"/>
      <c r="D423" s="15"/>
      <c r="E423" s="16"/>
      <c r="F423" s="17"/>
      <c r="G423" s="17"/>
      <c r="H423" s="18"/>
    </row>
    <row r="424" spans="1:10" ht="11" customHeight="1">
      <c r="A424" s="13">
        <v>8</v>
      </c>
      <c r="B424" s="14"/>
      <c r="C424" s="14"/>
      <c r="D424" s="15"/>
      <c r="E424" s="16"/>
      <c r="F424" s="17"/>
      <c r="G424" s="17"/>
      <c r="H424" s="18"/>
    </row>
    <row r="425" spans="1:10" ht="11" customHeight="1">
      <c r="A425" s="13">
        <v>9</v>
      </c>
      <c r="B425" s="14"/>
      <c r="C425" s="14"/>
      <c r="D425" s="15"/>
      <c r="E425" s="16"/>
      <c r="F425" s="17"/>
      <c r="G425" s="17"/>
      <c r="H425" s="18"/>
    </row>
    <row r="426" spans="1:10" ht="11" customHeight="1" thickBot="1">
      <c r="A426" s="13">
        <v>10</v>
      </c>
      <c r="B426" s="14"/>
      <c r="C426" s="14"/>
      <c r="D426" s="15"/>
      <c r="E426" s="16"/>
      <c r="F426" s="17"/>
      <c r="G426" s="17"/>
      <c r="H426" s="18"/>
    </row>
    <row r="427" spans="1:10" s="1" customFormat="1" ht="11" customHeight="1" thickBot="1">
      <c r="A427" s="1193" t="s">
        <v>2099</v>
      </c>
      <c r="B427" s="1194"/>
      <c r="C427" s="1194"/>
      <c r="D427" s="1194"/>
      <c r="E427" s="1194"/>
      <c r="F427" s="1194"/>
      <c r="G427" s="1194"/>
      <c r="H427" s="1194"/>
      <c r="I427" s="1194"/>
      <c r="J427" s="1195"/>
    </row>
    <row r="428" spans="1:10" ht="11" customHeight="1">
      <c r="A428" s="13">
        <v>1</v>
      </c>
      <c r="B428" s="14" t="s">
        <v>1316</v>
      </c>
      <c r="C428" s="14"/>
      <c r="D428" s="15" t="s">
        <v>1317</v>
      </c>
      <c r="E428" s="16" t="s">
        <v>1318</v>
      </c>
      <c r="F428" s="17">
        <v>20344</v>
      </c>
      <c r="G428" s="17"/>
      <c r="H428" s="18"/>
    </row>
    <row r="429" spans="1:10" ht="11" customHeight="1">
      <c r="A429" s="13">
        <v>2</v>
      </c>
      <c r="B429" s="14" t="s">
        <v>1319</v>
      </c>
      <c r="C429" s="14"/>
      <c r="D429" s="15" t="s">
        <v>1320</v>
      </c>
      <c r="E429" s="16" t="s">
        <v>1321</v>
      </c>
      <c r="F429" s="17">
        <v>17051</v>
      </c>
      <c r="G429" s="17">
        <v>8376052031</v>
      </c>
      <c r="H429" s="18" t="s">
        <v>236</v>
      </c>
    </row>
    <row r="430" spans="1:10" ht="11" customHeight="1">
      <c r="A430" s="13">
        <v>3</v>
      </c>
      <c r="B430" s="14" t="s">
        <v>1322</v>
      </c>
      <c r="C430" s="14"/>
      <c r="D430" s="15" t="s">
        <v>1323</v>
      </c>
      <c r="E430" s="16" t="s">
        <v>1279</v>
      </c>
      <c r="F430" s="17">
        <v>23246</v>
      </c>
      <c r="G430" s="17"/>
      <c r="H430" s="18" t="s">
        <v>1324</v>
      </c>
    </row>
    <row r="431" spans="1:10" ht="11" customHeight="1">
      <c r="A431" s="13">
        <v>8</v>
      </c>
      <c r="B431" s="14" t="s">
        <v>1329</v>
      </c>
      <c r="C431" s="14"/>
      <c r="D431" s="15" t="s">
        <v>1330</v>
      </c>
      <c r="E431" s="16" t="s">
        <v>2313</v>
      </c>
      <c r="F431" s="17">
        <v>22735</v>
      </c>
      <c r="G431" s="17">
        <v>9818086104</v>
      </c>
      <c r="H431" s="18"/>
    </row>
    <row r="432" spans="1:10" ht="11" customHeight="1">
      <c r="A432" s="13">
        <v>9</v>
      </c>
      <c r="B432" s="14" t="s">
        <v>2301</v>
      </c>
      <c r="C432" s="14"/>
      <c r="D432" s="15"/>
      <c r="E432" s="16" t="s">
        <v>2314</v>
      </c>
      <c r="F432" s="17">
        <v>28585</v>
      </c>
      <c r="G432" s="17"/>
      <c r="H432" s="18"/>
    </row>
    <row r="433" spans="1:12" s="64" customFormat="1" ht="11" customHeight="1">
      <c r="A433" s="86">
        <v>8</v>
      </c>
      <c r="B433" s="74" t="s">
        <v>1331</v>
      </c>
      <c r="C433" s="76" t="s">
        <v>2304</v>
      </c>
      <c r="D433" s="466"/>
      <c r="E433" s="467" t="s">
        <v>1332</v>
      </c>
      <c r="F433" s="75">
        <v>6347</v>
      </c>
      <c r="G433" s="77">
        <v>9911623642</v>
      </c>
      <c r="H433" s="87" t="s">
        <v>1333</v>
      </c>
      <c r="I433" s="82"/>
      <c r="J433" s="1"/>
      <c r="K433" s="1"/>
      <c r="L433" s="1"/>
    </row>
    <row r="434" spans="1:12" s="62" customFormat="1" ht="11" customHeight="1">
      <c r="A434" s="86">
        <v>9</v>
      </c>
      <c r="B434" s="640" t="s">
        <v>14</v>
      </c>
      <c r="C434" s="641" t="s">
        <v>2305</v>
      </c>
      <c r="D434" s="642"/>
      <c r="E434" s="643" t="s">
        <v>1334</v>
      </c>
      <c r="F434" s="644">
        <v>1335.05</v>
      </c>
      <c r="G434" s="645">
        <v>9810246109</v>
      </c>
      <c r="H434" s="646" t="s">
        <v>3014</v>
      </c>
      <c r="I434" s="639"/>
      <c r="J434" s="3"/>
      <c r="K434" s="3"/>
      <c r="L434" s="3"/>
    </row>
    <row r="435" spans="1:12" ht="11" customHeight="1">
      <c r="A435" s="13">
        <v>8</v>
      </c>
      <c r="B435" s="14"/>
      <c r="C435" s="14"/>
      <c r="D435" s="15"/>
      <c r="E435" s="16"/>
      <c r="F435" s="17"/>
      <c r="G435" s="17"/>
      <c r="H435" s="18"/>
    </row>
    <row r="436" spans="1:12" ht="11" customHeight="1">
      <c r="A436" s="13">
        <v>9</v>
      </c>
      <c r="B436" s="14"/>
      <c r="C436" s="14"/>
      <c r="D436" s="15"/>
      <c r="E436" s="16"/>
      <c r="F436" s="17"/>
      <c r="G436" s="17"/>
      <c r="H436" s="18"/>
    </row>
    <row r="437" spans="1:12" ht="11" customHeight="1" thickBot="1">
      <c r="A437" s="13">
        <v>10</v>
      </c>
      <c r="B437" s="14"/>
      <c r="C437" s="14"/>
      <c r="D437" s="15"/>
      <c r="E437" s="16"/>
      <c r="F437" s="17"/>
      <c r="G437" s="17"/>
      <c r="H437" s="18"/>
    </row>
    <row r="438" spans="1:12" ht="11" customHeight="1" thickBot="1">
      <c r="A438" s="1201" t="s">
        <v>1341</v>
      </c>
      <c r="B438" s="1202"/>
      <c r="C438" s="1202"/>
      <c r="D438" s="1202"/>
      <c r="E438" s="1202"/>
      <c r="F438" s="1202"/>
      <c r="G438" s="1202"/>
      <c r="H438" s="1202"/>
      <c r="I438" s="1203"/>
    </row>
    <row r="439" spans="1:12" ht="11" customHeight="1">
      <c r="A439" s="13">
        <v>1</v>
      </c>
      <c r="B439" s="14" t="s">
        <v>1342</v>
      </c>
      <c r="C439" s="14" t="s">
        <v>1343</v>
      </c>
      <c r="D439" s="15" t="s">
        <v>1344</v>
      </c>
      <c r="E439" s="16">
        <v>8113</v>
      </c>
      <c r="F439" s="17" t="s">
        <v>1345</v>
      </c>
      <c r="G439" s="17"/>
      <c r="H439" s="18"/>
      <c r="I439" s="451"/>
    </row>
    <row r="440" spans="1:12" ht="11" customHeight="1">
      <c r="A440" s="13">
        <v>2</v>
      </c>
      <c r="B440" s="14"/>
      <c r="C440" s="14"/>
      <c r="D440" s="15"/>
      <c r="E440" s="16"/>
      <c r="F440" s="17"/>
      <c r="G440" s="17"/>
      <c r="H440" s="18"/>
      <c r="I440" s="451"/>
    </row>
    <row r="441" spans="1:12" ht="11" customHeight="1">
      <c r="A441" s="13">
        <v>3</v>
      </c>
      <c r="B441" s="14"/>
      <c r="C441" s="14"/>
      <c r="D441" s="15"/>
      <c r="E441" s="16"/>
      <c r="F441" s="17"/>
      <c r="G441" s="17"/>
      <c r="H441" s="18"/>
      <c r="I441" s="451"/>
    </row>
    <row r="442" spans="1:12" ht="11" customHeight="1">
      <c r="A442" s="13">
        <v>4</v>
      </c>
      <c r="B442" s="14"/>
      <c r="C442" s="14"/>
      <c r="D442" s="15"/>
      <c r="E442" s="16"/>
      <c r="F442" s="17"/>
      <c r="G442" s="17"/>
      <c r="H442" s="18"/>
      <c r="I442" s="451"/>
    </row>
    <row r="443" spans="1:12" ht="11" customHeight="1" thickBot="1">
      <c r="A443" s="452">
        <v>5</v>
      </c>
      <c r="B443" s="454"/>
      <c r="C443" s="454"/>
      <c r="D443" s="455"/>
      <c r="E443" s="371"/>
      <c r="F443" s="364"/>
      <c r="G443" s="364"/>
      <c r="H443" s="363"/>
      <c r="I443" s="456"/>
    </row>
  </sheetData>
  <mergeCells count="14">
    <mergeCell ref="A427:J427"/>
    <mergeCell ref="A438:I438"/>
    <mergeCell ref="A327:H327"/>
    <mergeCell ref="A368:H368"/>
    <mergeCell ref="A416:J416"/>
    <mergeCell ref="H328:H333"/>
    <mergeCell ref="A2:H2"/>
    <mergeCell ref="A80:H80"/>
    <mergeCell ref="A207:H207"/>
    <mergeCell ref="A265:H265"/>
    <mergeCell ref="A286:H286"/>
    <mergeCell ref="H16:H17"/>
    <mergeCell ref="H28:H30"/>
    <mergeCell ref="H208:H210"/>
  </mergeCells>
  <pageMargins left="0.7" right="0.7" top="0.75" bottom="0.75" header="0.3" footer="0.3"/>
  <pageSetup orientation="portrait"/>
  <ignoredErrors>
    <ignoredError sqref="A80:H80 A1:H2 B6:H27 G237 G82:G158 H417 B3:H5 B81:H81 G19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5762-8558-4C90-ABFB-FDEEFDCA91AD}">
  <dimension ref="A5:J5"/>
  <sheetViews>
    <sheetView workbookViewId="0">
      <selection activeCell="E11" sqref="E11"/>
    </sheetView>
  </sheetViews>
  <sheetFormatPr defaultRowHeight="14.5"/>
  <sheetData>
    <row r="5" spans="1:10" s="4" customFormat="1" ht="39" customHeight="1">
      <c r="A5" s="501">
        <v>15</v>
      </c>
      <c r="B5" s="741" t="s">
        <v>11</v>
      </c>
      <c r="C5" s="741" t="s">
        <v>2228</v>
      </c>
      <c r="D5" s="742" t="s">
        <v>12</v>
      </c>
      <c r="E5" s="746">
        <v>10855</v>
      </c>
      <c r="F5" s="743" t="s">
        <v>13</v>
      </c>
      <c r="G5" s="743">
        <v>8130701513</v>
      </c>
      <c r="H5" s="744" t="s">
        <v>14</v>
      </c>
      <c r="I5" s="833"/>
      <c r="J5" s="4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</vt:lpstr>
      <vt:lpstr>Erg</vt:lpstr>
      <vt:lpstr>Niva</vt:lpstr>
      <vt:lpstr>Reli</vt:lpstr>
      <vt:lpstr>S.B.I</vt:lpstr>
      <vt:lpstr>Care</vt:lpstr>
      <vt:lpstr>Futr&amp;ICICI</vt:lpstr>
      <vt:lpstr>H.Life-P.Bdur</vt:lpstr>
      <vt:lpstr>H.Life-A.Gupta</vt:lpstr>
      <vt:lpstr>Kuldp-Veh</vt:lpstr>
      <vt:lpstr>S.Ram</vt:lpstr>
      <vt:lpstr>Total</vt:lpstr>
      <vt:lpstr>Transfer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Tina Sathyan Bansal</cp:lastModifiedBy>
  <cp:lastPrinted>2026-04-01T08:26:46Z</cp:lastPrinted>
  <dcterms:created xsi:type="dcterms:W3CDTF">2020-09-09T07:28:00Z</dcterms:created>
  <dcterms:modified xsi:type="dcterms:W3CDTF">2026-04-04T08:18:47Z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5F6F39356B37460CB07A739A0AA71FF6_12</vt:lpwstr>
  </property>
  <property fmtid="{D5CDD505-2E9C-101B-9397-08002B2CF9AE}" pid="3" name="KSOProductBuildVer">
    <vt:lpwstr>1033-12.2.0.20326</vt:lpwstr>
  </property>
</Properties>
</file>